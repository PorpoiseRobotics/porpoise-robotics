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nswer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Grow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.0;-0.0;0.0"/>
    <numFmt numFmtId="166" formatCode="+0%;-0%;0%"/>
    <numFmt numFmtId="167" formatCode="+0;-0;0"/>
  </numFmts>
  <fonts count="13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222222"/>
      <sz val="11"/>
    </font>
    <font>
      <name val="Arial"/>
      <b val="1"/>
      <color rgb="001F3A5F"/>
      <sz val="11"/>
    </font>
    <font>
      <name val="Arial"/>
      <b val="1"/>
    </font>
    <font>
      <name val="Arial"/>
    </font>
    <font>
      <name val="Arial"/>
      <b val="1"/>
      <color rgb="001F3A5F"/>
    </font>
    <font>
      <name val="Arial"/>
      <color rgb="00666666"/>
    </font>
    <font>
      <name val="Arial"/>
      <b val="1"/>
      <color rgb="000E7C86"/>
    </font>
    <font>
      <name val="Arial"/>
      <b val="1"/>
      <color rgb="00FFFFFF"/>
    </font>
    <font>
      <name val="Arial"/>
      <i val="1"/>
      <color rgb="00666666"/>
    </font>
    <font>
      <name val="Arial"/>
      <b val="1"/>
      <color rgb="001F3A5F"/>
      <sz val="14"/>
    </font>
    <font>
      <name val="Arial"/>
      <b val="1"/>
      <color rgb="00B46A0F"/>
    </font>
  </fonts>
  <fills count="6">
    <fill>
      <patternFill/>
    </fill>
    <fill>
      <patternFill patternType="gray125"/>
    </fill>
    <fill>
      <patternFill patternType="solid">
        <fgColor rgb="00D6ECEE"/>
      </patternFill>
    </fill>
    <fill>
      <patternFill patternType="solid">
        <fgColor rgb="001F3A5F"/>
      </patternFill>
    </fill>
    <fill>
      <patternFill patternType="solid">
        <fgColor rgb="00EEEE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9" fillId="3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5" fillId="5" borderId="1" pivotButton="0" quotePrefix="0" xfId="0"/>
    <xf numFmtId="0" fontId="11" fillId="0" borderId="0" pivotButton="0" quotePrefix="0" xfId="0"/>
    <xf numFmtId="0" fontId="9" fillId="3" borderId="0" applyAlignment="1" pivotButton="0" quotePrefix="0" xfId="0">
      <alignment horizontal="left"/>
    </xf>
    <xf numFmtId="164" fontId="4" fillId="0" borderId="0" pivotButton="0" quotePrefix="0" xfId="0"/>
    <xf numFmtId="165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9" fontId="4" fillId="0" borderId="0" pivotButton="0" quotePrefix="0" xfId="0"/>
    <xf numFmtId="166" fontId="4" fillId="0" borderId="0" pivotButton="0" quotePrefix="0" xfId="0"/>
    <xf numFmtId="9" fontId="5" fillId="0" borderId="0" pivotButton="0" quotePrefix="0" xfId="0"/>
    <xf numFmtId="166" fontId="5" fillId="0" borderId="0" pivotButton="0" quotePrefix="0" xfId="0"/>
    <xf numFmtId="0" fontId="12" fillId="0" borderId="0" pivotButton="0" quotePrefix="0" xfId="0"/>
    <xf numFmtId="0" fontId="10" fillId="4" borderId="1" pivotButton="0" quotePrefix="0" xfId="0"/>
    <xf numFmtId="167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About me, by checkpoint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'Summary'!B60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'Summary'!$A$61:$A$64</f>
            </numRef>
          </cat>
          <val>
            <numRef>
              <f>'Summary'!$B$61:$B$64</f>
            </numRef>
          </val>
        </ser>
        <ser>
          <idx val="1"/>
          <order val="1"/>
          <tx>
            <strRef>
              <f>'Summary'!C60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'Summary'!$A$61:$A$64</f>
            </numRef>
          </cat>
          <val>
            <numRef>
              <f>'Summary'!$C$61:$C$64</f>
            </numRef>
          </val>
        </ser>
        <ser>
          <idx val="2"/>
          <order val="2"/>
          <tx>
            <strRef>
              <f>'Summary'!D60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'Summary'!$A$61:$A$64</f>
            </numRef>
          </cat>
          <val>
            <numRef>
              <f>'Summary'!$D$61:$D$64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(1 to 4)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 2 answered right, by checkpoint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'Summary'!$B$4:$D$4</f>
            </numRef>
          </cat>
          <val>
            <numRef>
              <f>'Summary'!$B$22:$D$22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Porpoise Robotics</author>
  </authors>
  <commentList>
    <comment ref="A2" authorId="0" shapeId="0">
      <text>
        <t>Explorer code</t>
      </text>
    </comment>
    <comment ref="B2" authorId="0" shapeId="0">
      <text>
        <t>Checkpoint</t>
      </text>
    </comment>
    <comment ref="C2" authorId="0" shapeId="0">
      <text>
        <t>Date</t>
      </text>
    </comment>
    <comment ref="D2" authorId="0" shapeId="0">
      <text>
        <t>I am good at figuring out how things work.</t>
      </text>
    </comment>
    <comment ref="E2" authorId="0" shapeId="0">
      <text>
        <t>I could write a program that makes a robot do something.</t>
      </text>
    </comment>
    <comment ref="F2" authorId="0" shapeId="0">
      <text>
        <t>When my code doesn't work, I can find the bug and fix it.</t>
      </text>
    </comment>
    <comment ref="G2" authorId="0" shapeId="0">
      <text>
        <t>I keep trying when a problem is hard.</t>
      </text>
    </comment>
    <comment ref="H2" authorId="0" shapeId="0">
      <text>
        <t>I can explain my ideas to my team.</t>
      </text>
    </comment>
    <comment ref="I2" authorId="0" shapeId="0">
      <text>
        <t>I like working with a team.</t>
      </text>
    </comment>
    <comment ref="J2" authorId="0" shapeId="0">
      <text>
        <t>Robots and coding are fun.</t>
      </text>
    </comment>
    <comment ref="K2" authorId="0" shapeId="0">
      <text>
        <t>I could be an engineer or a programmer one day.</t>
      </text>
    </comment>
    <comment ref="L2" authorId="0" shapeId="0">
      <text>
        <t>A robot is a machine that can...</t>
      </text>
    </comment>
    <comment ref="M2" authorId="0" shapeId="0">
      <text>
        <t>In a program, loop() runs...</t>
      </text>
    </comment>
    <comment ref="N2" authorId="0" shapeId="0">
      <text>
        <t>Red light and green light mixed together make...</t>
      </text>
    </comment>
    <comment ref="O2" authorId="0" shapeId="0">
      <text>
        <t>A Pathfinder turns right by...</t>
      </text>
    </comment>
    <comment ref="P2" authorId="0" shapeId="0">
      <text>
        <t>1000 milliseconds is...</t>
      </text>
    </comment>
    <comment ref="Q2" authorId="0" shapeId="0">
      <text>
        <t>A function is...</t>
      </text>
    </comment>
    <comment ref="R2" authorId="0" shapeId="0">
      <text>
        <t>In  if (buttonA()) { ... } else { ... }  the else part happens when...</t>
      </text>
    </comment>
    <comment ref="S2" authorId="0" shapeId="0">
      <text>
        <t>While a program is waiting in delay(), it...</t>
      </text>
    </comment>
    <comment ref="T2" authorId="0" shapeId="0">
      <text>
        <t>Did you like Lesson 1?</t>
      </text>
    </comment>
    <comment ref="U2" authorId="0" shapeId="0">
      <text>
        <t>Did you like Lesson 2?</t>
      </text>
    </comment>
    <comment ref="V2" authorId="0" shapeId="0">
      <text>
        <t>Did you like Lesson 3?</t>
      </text>
    </comment>
    <comment ref="W2" authorId="0" shapeId="0">
      <text>
        <t>Did you like Lesson 4?</t>
      </text>
    </comment>
    <comment ref="X2" authorId="0" shapeId="0">
      <text>
        <t>Did you like Lesson 5?</t>
      </text>
    </comment>
    <comment ref="Y2" authorId="0" shapeId="0">
      <text>
        <t>Did you like Lesson 6?</t>
      </text>
    </comment>
    <comment ref="Z2" authorId="0" shapeId="0">
      <text>
        <t>Did you like Lesson 7?</t>
      </text>
    </comment>
    <comment ref="AA2" authorId="0" shapeId="0">
      <text>
        <t>Did you like Lesson 8?</t>
      </text>
    </comment>
    <comment ref="AB2" authorId="0" shapeId="0">
      <text>
        <t>Did you like Lesson 9?</t>
      </text>
    </comment>
    <comment ref="AC2" authorId="0" shapeId="0">
      <text>
        <t>Did you like Lesson 10?</t>
      </text>
    </comment>
    <comment ref="AD2" authorId="0" shapeId="0">
      <text>
        <t>Did you like Lesson 11?</t>
      </text>
    </comment>
    <comment ref="AE2" authorId="0" shapeId="0">
      <text>
        <t>Did you like Lesson 12?</t>
      </text>
    </comment>
    <comment ref="AF2" authorId="0" shapeId="0">
      <text>
        <t>How hard was Lesson 1?</t>
      </text>
    </comment>
    <comment ref="AG2" authorId="0" shapeId="0">
      <text>
        <t>How hard was Lesson 2?</t>
      </text>
    </comment>
    <comment ref="AH2" authorId="0" shapeId="0">
      <text>
        <t>How hard was Lesson 3?</t>
      </text>
    </comment>
    <comment ref="AI2" authorId="0" shapeId="0">
      <text>
        <t>How hard was Lesson 4?</t>
      </text>
    </comment>
    <comment ref="AJ2" authorId="0" shapeId="0">
      <text>
        <t>How hard was Lesson 5?</t>
      </text>
    </comment>
    <comment ref="AK2" authorId="0" shapeId="0">
      <text>
        <t>How hard was Lesson 6?</t>
      </text>
    </comment>
    <comment ref="AL2" authorId="0" shapeId="0">
      <text>
        <t>How hard was Lesson 7?</t>
      </text>
    </comment>
    <comment ref="AM2" authorId="0" shapeId="0">
      <text>
        <t>How hard was Lesson 8?</t>
      </text>
    </comment>
    <comment ref="AN2" authorId="0" shapeId="0">
      <text>
        <t>How hard was Lesson 9?</t>
      </text>
    </comment>
    <comment ref="AO2" authorId="0" shapeId="0">
      <text>
        <t>How hard was Lesson 10?</t>
      </text>
    </comment>
    <comment ref="AP2" authorId="0" shapeId="0">
      <text>
        <t>How hard was Lesson 11?</t>
      </text>
    </comment>
    <comment ref="AQ2" authorId="0" shapeId="0">
      <text>
        <t>How hard was Lesson 12?</t>
      </text>
    </comment>
    <comment ref="AR2" authorId="0" shapeId="0">
      <text>
        <t>The lessons go...</t>
      </text>
    </comment>
    <comment ref="AS2" authorId="0" shapeId="0">
      <text>
        <t>My team shares the jobs fairly.</t>
      </text>
    </comment>
    <comment ref="AT2" authorId="0" shapeId="0">
      <text>
        <t>I feel safe in this class.</t>
      </text>
    </comment>
    <comment ref="AU2" authorId="0" shapeId="0">
      <text>
        <t>Would you tell a friend to take this course?</t>
      </text>
    </comment>
    <comment ref="AV2" authorId="0" shapeId="0">
      <text>
        <t>Do you want to keep learning robotics or coding?</t>
      </text>
    </comment>
    <comment ref="AW2" authorId="0" shapeId="0">
      <text>
        <t>Anything worth keeping from Part 4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26" customWidth="1" min="3" max="3"/>
  </cols>
  <sheetData>
    <row r="1">
      <c r="A1" s="1" t="inlineStr">
        <is>
          <t>Pathfinder Explorers - questionnaire tracker</t>
        </is>
      </c>
    </row>
    <row r="2">
      <c r="A2" s="2" t="inlineStr">
        <is>
          <t>One copy of this workbook per cohort.</t>
        </is>
      </c>
    </row>
    <row r="3">
      <c r="A3" s="2" t="inlineStr"/>
    </row>
    <row r="4">
      <c r="A4" s="3" t="inlineStr">
        <is>
          <t>How to use it</t>
        </is>
      </c>
    </row>
    <row r="5">
      <c r="A5" s="2" t="inlineStr">
        <is>
          <t>1. After each questionnaire, type every student's form into the Answers sheet: one row per form.</t>
        </is>
      </c>
    </row>
    <row r="6">
      <c r="A6" s="2" t="inlineStr">
        <is>
          <t>2. Yellow cells are the ones you type in. Everything else is worked out for you.</t>
        </is>
      </c>
    </row>
    <row r="7">
      <c r="A7" s="2" t="inlineStr">
        <is>
          <t>3. Summary shows the whole class at Start, Halfway and Finish. Growth shows each student.</t>
        </is>
      </c>
    </row>
    <row r="8">
      <c r="A8" s="2" t="inlineStr">
        <is>
          <t>4. Type each Explorer code once in column A of the Growth sheet.</t>
        </is>
      </c>
    </row>
    <row r="9">
      <c r="A9" s="2" t="inlineStr">
        <is>
          <t>5. The grey rows coded EXAMPLE show the format. They are left out of the Summary. Delete them whenever you like.</t>
        </is>
      </c>
    </row>
    <row r="10">
      <c r="A10" s="2" t="inlineStr"/>
    </row>
    <row r="11">
      <c r="A11" s="3" t="inlineStr">
        <is>
          <t>How to type each answer</t>
        </is>
      </c>
    </row>
    <row r="12">
      <c r="A12" s="4" t="inlineStr">
        <is>
          <t>Checkpoint</t>
        </is>
      </c>
      <c r="B12" s="5" t="inlineStr">
        <is>
          <t>Start, Halfway or Finish (pick from the list)</t>
        </is>
      </c>
    </row>
    <row r="13">
      <c r="A13" s="4" t="inlineStr">
        <is>
          <t>A1 to A8</t>
        </is>
      </c>
      <c r="B13" s="5" t="inlineStr">
        <is>
          <t>Part 1. Not true for me = 1, A little true = 2, Mostly true = 3, Very true = 4</t>
        </is>
      </c>
    </row>
    <row r="14">
      <c r="A14" s="4" t="inlineStr">
        <is>
          <t>K1 to K8</t>
        </is>
      </c>
      <c r="B14" s="5" t="inlineStr">
        <is>
          <t>Part 2. Right = 1. Wrong, or "I don't know yet" = 0. Left blank = leave the cell empty.</t>
        </is>
      </c>
    </row>
    <row r="15">
      <c r="A15" s="4" t="inlineStr">
        <is>
          <t>LIKE1 to LIKE12</t>
        </is>
      </c>
      <c r="B15" s="5" t="inlineStr">
        <is>
          <t>Part 3. Not much = 1, OK = 2, Loved it = 3</t>
        </is>
      </c>
    </row>
    <row r="16">
      <c r="A16" s="4" t="inlineStr">
        <is>
          <t>HARD1 to HARD12</t>
        </is>
      </c>
      <c r="B16" s="5" t="inlineStr">
        <is>
          <t>Part 3. Too easy = 1, Just right = 2, Too hard = 3</t>
        </is>
      </c>
    </row>
    <row r="17">
      <c r="A17" s="4" t="inlineStr">
        <is>
          <t>PACE</t>
        </is>
      </c>
      <c r="B17" s="5" t="inlineStr">
        <is>
          <t>Too slow = 1, Just right = 2, Too fast = 3</t>
        </is>
      </c>
    </row>
    <row r="18">
      <c r="A18" s="4" t="inlineStr">
        <is>
          <t>FAIR, SAFE</t>
        </is>
      </c>
      <c r="B18" s="5" t="inlineStr">
        <is>
          <t>Yes, Sometimes or No (pick from the list)</t>
        </is>
      </c>
    </row>
    <row r="19">
      <c r="A19" s="4" t="inlineStr">
        <is>
          <t>FRIEND, MORE</t>
        </is>
      </c>
      <c r="B19" s="5" t="inlineStr">
        <is>
          <t>Yes, Maybe or No (pick from the list)</t>
        </is>
      </c>
    </row>
    <row r="20">
      <c r="A20" s="4" t="inlineStr">
        <is>
          <t>NOTES</t>
        </is>
      </c>
      <c r="B20" s="5" t="inlineStr">
        <is>
          <t>Copy any Part 4 answer worth discussing, word for word</t>
        </is>
      </c>
    </row>
    <row r="22">
      <c r="A22" s="6" t="inlineStr">
        <is>
          <t>Part 1: the sentences</t>
        </is>
      </c>
    </row>
    <row r="23">
      <c r="A23" s="4" t="inlineStr">
        <is>
          <t>A1</t>
        </is>
      </c>
      <c r="B23" s="5" t="inlineStr">
        <is>
          <t>I am good at figuring out how things work.</t>
        </is>
      </c>
      <c r="C23" s="7" t="inlineStr">
        <is>
          <t>Confidence</t>
        </is>
      </c>
    </row>
    <row r="24">
      <c r="A24" s="4" t="inlineStr">
        <is>
          <t>A2</t>
        </is>
      </c>
      <c r="B24" s="5" t="inlineStr">
        <is>
          <t>I could write a program that makes a robot do something.</t>
        </is>
      </c>
      <c r="C24" s="7" t="inlineStr">
        <is>
          <t>Confidence</t>
        </is>
      </c>
    </row>
    <row r="25">
      <c r="A25" s="4" t="inlineStr">
        <is>
          <t>A3</t>
        </is>
      </c>
      <c r="B25" s="5" t="inlineStr">
        <is>
          <t>When my code doesn't work, I can find the bug and fix it.</t>
        </is>
      </c>
      <c r="C25" s="7" t="inlineStr">
        <is>
          <t>Confidence</t>
        </is>
      </c>
    </row>
    <row r="26">
      <c r="A26" s="4" t="inlineStr">
        <is>
          <t>A4</t>
        </is>
      </c>
      <c r="B26" s="5" t="inlineStr">
        <is>
          <t>I keep trying when a problem is hard.</t>
        </is>
      </c>
      <c r="C26" s="7" t="inlineStr">
        <is>
          <t>Never give up</t>
        </is>
      </c>
    </row>
    <row r="27">
      <c r="A27" s="4" t="inlineStr">
        <is>
          <t>A5</t>
        </is>
      </c>
      <c r="B27" s="5" t="inlineStr">
        <is>
          <t>I can explain my ideas to my team.</t>
        </is>
      </c>
      <c r="C27" s="7" t="inlineStr">
        <is>
          <t>Teamwork</t>
        </is>
      </c>
    </row>
    <row r="28">
      <c r="A28" s="4" t="inlineStr">
        <is>
          <t>A6</t>
        </is>
      </c>
      <c r="B28" s="5" t="inlineStr">
        <is>
          <t>I like working with a team.</t>
        </is>
      </c>
      <c r="C28" s="7" t="inlineStr">
        <is>
          <t>Teamwork</t>
        </is>
      </c>
    </row>
    <row r="29">
      <c r="A29" s="4" t="inlineStr">
        <is>
          <t>A7</t>
        </is>
      </c>
      <c r="B29" s="5" t="inlineStr">
        <is>
          <t>Robots and coding are fun.</t>
        </is>
      </c>
      <c r="C29" s="7" t="inlineStr">
        <is>
          <t>Interest</t>
        </is>
      </c>
    </row>
    <row r="30">
      <c r="A30" s="4" t="inlineStr">
        <is>
          <t>A8</t>
        </is>
      </c>
      <c r="B30" s="5" t="inlineStr">
        <is>
          <t>I could be an engineer or a programmer one day.</t>
        </is>
      </c>
      <c r="C30" s="7" t="inlineStr">
        <is>
          <t>Interest</t>
        </is>
      </c>
    </row>
    <row r="32">
      <c r="A32" s="6" t="inlineStr">
        <is>
          <t>Part 2: answer key</t>
        </is>
      </c>
    </row>
    <row r="33">
      <c r="A33" s="4" t="inlineStr">
        <is>
          <t>K1</t>
        </is>
      </c>
      <c r="B33" s="5" t="inlineStr">
        <is>
          <t>A robot is a machine that can...</t>
        </is>
      </c>
      <c r="C33" s="8" t="inlineStr">
        <is>
          <t>sense, think and act  (Lesson 1)</t>
        </is>
      </c>
    </row>
    <row r="34">
      <c r="A34" s="4" t="inlineStr">
        <is>
          <t>K2</t>
        </is>
      </c>
      <c r="B34" s="5" t="inlineStr">
        <is>
          <t>In a program, loop() runs...</t>
        </is>
      </c>
      <c r="C34" s="8" t="inlineStr">
        <is>
          <t>over and over, forever  (Lesson 2)</t>
        </is>
      </c>
    </row>
    <row r="35">
      <c r="A35" s="4" t="inlineStr">
        <is>
          <t>K3</t>
        </is>
      </c>
      <c r="B35" s="5" t="inlineStr">
        <is>
          <t>Red light and green light mixed together make...</t>
        </is>
      </c>
      <c r="C35" s="8" t="inlineStr">
        <is>
          <t>yellow  (Lesson 3)</t>
        </is>
      </c>
    </row>
    <row r="36">
      <c r="A36" s="4" t="inlineStr">
        <is>
          <t>K4</t>
        </is>
      </c>
      <c r="B36" s="5" t="inlineStr">
        <is>
          <t>A Pathfinder turns right by...</t>
        </is>
      </c>
      <c r="C36" s="8" t="inlineStr">
        <is>
          <t>making its left wheels go faster  (Lesson 5)</t>
        </is>
      </c>
    </row>
    <row r="37">
      <c r="A37" s="4" t="inlineStr">
        <is>
          <t>K5</t>
        </is>
      </c>
      <c r="B37" s="5" t="inlineStr">
        <is>
          <t>1000 milliseconds is...</t>
        </is>
      </c>
      <c r="C37" s="8" t="inlineStr">
        <is>
          <t>1 second  (Lesson 6)</t>
        </is>
      </c>
    </row>
    <row r="38">
      <c r="A38" s="4" t="inlineStr">
        <is>
          <t>K6</t>
        </is>
      </c>
      <c r="B38" s="5" t="inlineStr">
        <is>
          <t>A function is...</t>
        </is>
      </c>
      <c r="C38" s="8" t="inlineStr">
        <is>
          <t>a move you invent and give a name  (Lesson 7)</t>
        </is>
      </c>
    </row>
    <row r="39">
      <c r="A39" s="4" t="inlineStr">
        <is>
          <t>K7</t>
        </is>
      </c>
      <c r="B39" s="5" t="inlineStr">
        <is>
          <t>In  if (buttonA()) { ... } else { ... }  the else part happens when...</t>
        </is>
      </c>
      <c r="C39" s="8" t="inlineStr">
        <is>
          <t>A is NOT held down  (Lesson 8)</t>
        </is>
      </c>
    </row>
    <row r="40">
      <c r="A40" s="4" t="inlineStr">
        <is>
          <t>K8</t>
        </is>
      </c>
      <c r="B40" s="5" t="inlineStr">
        <is>
          <t>While a program is waiting in delay(), it...</t>
        </is>
      </c>
      <c r="C40" s="8" t="inlineStr">
        <is>
          <t>can NOT read the stick  (Lesson 10)</t>
        </is>
      </c>
    </row>
    <row r="42">
      <c r="A42" s="6" t="inlineStr">
        <is>
          <t>Reading the results</t>
        </is>
      </c>
    </row>
    <row r="43" ht="30" customHeight="1">
      <c r="A43" s="9" t="inlineStr">
        <is>
          <t>With a class of twelve, every number is a conversation starter, not a statistic. Look for big changes and for anything a lot of students agree on.</t>
        </is>
      </c>
    </row>
    <row r="44" ht="30" customHeight="1">
      <c r="A44" s="9" t="inlineStr">
        <is>
          <t>Part 2 should climb from Start to Finish. A question most students still miss at Finish points at a lesson worth strengthening.</t>
        </is>
      </c>
    </row>
    <row r="45" ht="30" customHeight="1">
      <c r="A45" s="9" t="inlineStr">
        <is>
          <t>Any SAFE = No is worth a quiet conversation the same week, not a spreadsheet.</t>
        </is>
      </c>
    </row>
    <row r="46" ht="30" customHeight="1">
      <c r="A46" s="9" t="inlineStr">
        <is>
          <t>These are our own questions, written for this course. They are not a validated research instrument.</t>
        </is>
      </c>
    </row>
  </sheetData>
  <mergeCells count="4">
    <mergeCell ref="A45:C45"/>
    <mergeCell ref="A46:C46"/>
    <mergeCell ref="A43:C43"/>
    <mergeCell ref="A44:C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00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40" customWidth="1" min="49" max="49"/>
  </cols>
  <sheetData>
    <row r="1">
      <c r="A1" s="10" t="inlineStr">
        <is>
          <t>Who and when</t>
        </is>
      </c>
      <c r="D1" s="10" t="inlineStr">
        <is>
          <t>Part 1: About me (1 to 4)</t>
        </is>
      </c>
      <c r="L1" s="10" t="inlineStr">
        <is>
          <t>Part 2: right = 1, wrong = 0</t>
        </is>
      </c>
      <c r="T1" s="10" t="inlineStr">
        <is>
          <t>Liked it? (1 to 3)</t>
        </is>
      </c>
      <c r="AF1" s="10" t="inlineStr">
        <is>
          <t>How hard? (1 to 3)</t>
        </is>
      </c>
      <c r="AR1" s="10" t="inlineStr">
        <is>
          <t>Part 3 questions</t>
        </is>
      </c>
      <c r="AW1" s="10" t="inlineStr">
        <is>
          <t>Notes</t>
        </is>
      </c>
    </row>
    <row r="2" ht="30" customHeight="1">
      <c r="A2" s="11" t="inlineStr">
        <is>
          <t>Explorer code</t>
        </is>
      </c>
      <c r="B2" s="11" t="inlineStr">
        <is>
          <t>Checkpoint</t>
        </is>
      </c>
      <c r="C2" s="11" t="inlineStr">
        <is>
          <t>Date</t>
        </is>
      </c>
      <c r="D2" s="11" t="inlineStr">
        <is>
          <t>A1</t>
        </is>
      </c>
      <c r="E2" s="11" t="inlineStr">
        <is>
          <t>A2</t>
        </is>
      </c>
      <c r="F2" s="11" t="inlineStr">
        <is>
          <t>A3</t>
        </is>
      </c>
      <c r="G2" s="11" t="inlineStr">
        <is>
          <t>A4</t>
        </is>
      </c>
      <c r="H2" s="11" t="inlineStr">
        <is>
          <t>A5</t>
        </is>
      </c>
      <c r="I2" s="11" t="inlineStr">
        <is>
          <t>A6</t>
        </is>
      </c>
      <c r="J2" s="11" t="inlineStr">
        <is>
          <t>A7</t>
        </is>
      </c>
      <c r="K2" s="11" t="inlineStr">
        <is>
          <t>A8</t>
        </is>
      </c>
      <c r="L2" s="11" t="inlineStr">
        <is>
          <t>K1</t>
        </is>
      </c>
      <c r="M2" s="11" t="inlineStr">
        <is>
          <t>K2</t>
        </is>
      </c>
      <c r="N2" s="11" t="inlineStr">
        <is>
          <t>K3</t>
        </is>
      </c>
      <c r="O2" s="11" t="inlineStr">
        <is>
          <t>K4</t>
        </is>
      </c>
      <c r="P2" s="11" t="inlineStr">
        <is>
          <t>K5</t>
        </is>
      </c>
      <c r="Q2" s="11" t="inlineStr">
        <is>
          <t>K6</t>
        </is>
      </c>
      <c r="R2" s="11" t="inlineStr">
        <is>
          <t>K7</t>
        </is>
      </c>
      <c r="S2" s="11" t="inlineStr">
        <is>
          <t>K8</t>
        </is>
      </c>
      <c r="T2" s="11" t="inlineStr">
        <is>
          <t>LIKE1</t>
        </is>
      </c>
      <c r="U2" s="11" t="inlineStr">
        <is>
          <t>LIKE2</t>
        </is>
      </c>
      <c r="V2" s="11" t="inlineStr">
        <is>
          <t>LIKE3</t>
        </is>
      </c>
      <c r="W2" s="11" t="inlineStr">
        <is>
          <t>LIKE4</t>
        </is>
      </c>
      <c r="X2" s="11" t="inlineStr">
        <is>
          <t>LIKE5</t>
        </is>
      </c>
      <c r="Y2" s="11" t="inlineStr">
        <is>
          <t>LIKE6</t>
        </is>
      </c>
      <c r="Z2" s="11" t="inlineStr">
        <is>
          <t>LIKE7</t>
        </is>
      </c>
      <c r="AA2" s="11" t="inlineStr">
        <is>
          <t>LIKE8</t>
        </is>
      </c>
      <c r="AB2" s="11" t="inlineStr">
        <is>
          <t>LIKE9</t>
        </is>
      </c>
      <c r="AC2" s="11" t="inlineStr">
        <is>
          <t>LIKE10</t>
        </is>
      </c>
      <c r="AD2" s="11" t="inlineStr">
        <is>
          <t>LIKE11</t>
        </is>
      </c>
      <c r="AE2" s="11" t="inlineStr">
        <is>
          <t>LIKE12</t>
        </is>
      </c>
      <c r="AF2" s="11" t="inlineStr">
        <is>
          <t>HARD1</t>
        </is>
      </c>
      <c r="AG2" s="11" t="inlineStr">
        <is>
          <t>HARD2</t>
        </is>
      </c>
      <c r="AH2" s="11" t="inlineStr">
        <is>
          <t>HARD3</t>
        </is>
      </c>
      <c r="AI2" s="11" t="inlineStr">
        <is>
          <t>HARD4</t>
        </is>
      </c>
      <c r="AJ2" s="11" t="inlineStr">
        <is>
          <t>HARD5</t>
        </is>
      </c>
      <c r="AK2" s="11" t="inlineStr">
        <is>
          <t>HARD6</t>
        </is>
      </c>
      <c r="AL2" s="11" t="inlineStr">
        <is>
          <t>HARD7</t>
        </is>
      </c>
      <c r="AM2" s="11" t="inlineStr">
        <is>
          <t>HARD8</t>
        </is>
      </c>
      <c r="AN2" s="11" t="inlineStr">
        <is>
          <t>HARD9</t>
        </is>
      </c>
      <c r="AO2" s="11" t="inlineStr">
        <is>
          <t>HARD10</t>
        </is>
      </c>
      <c r="AP2" s="11" t="inlineStr">
        <is>
          <t>HARD11</t>
        </is>
      </c>
      <c r="AQ2" s="11" t="inlineStr">
        <is>
          <t>HARD12</t>
        </is>
      </c>
      <c r="AR2" s="11" t="inlineStr">
        <is>
          <t>PACE</t>
        </is>
      </c>
      <c r="AS2" s="11" t="inlineStr">
        <is>
          <t>FAIR</t>
        </is>
      </c>
      <c r="AT2" s="11" t="inlineStr">
        <is>
          <t>SAFE</t>
        </is>
      </c>
      <c r="AU2" s="11" t="inlineStr">
        <is>
          <t>FRIEND</t>
        </is>
      </c>
      <c r="AV2" s="11" t="inlineStr">
        <is>
          <t>MORE</t>
        </is>
      </c>
      <c r="AW2" s="11" t="inlineStr">
        <is>
          <t>Anything worth keeping from Part 4</t>
        </is>
      </c>
    </row>
    <row r="3">
      <c r="A3" s="12" t="inlineStr">
        <is>
          <t>EXAMPLE</t>
        </is>
      </c>
      <c r="B3" s="12" t="inlineStr">
        <is>
          <t>Start</t>
        </is>
      </c>
      <c r="C3" s="12" t="inlineStr">
        <is>
          <t>2026-09-08</t>
        </is>
      </c>
      <c r="D3" s="12" t="n">
        <v>2</v>
      </c>
      <c r="E3" s="12" t="n">
        <v>1</v>
      </c>
      <c r="F3" s="12" t="n">
        <v>1</v>
      </c>
      <c r="G3" s="12" t="n">
        <v>3</v>
      </c>
      <c r="H3" s="12" t="n">
        <v>2</v>
      </c>
      <c r="I3" s="12" t="n">
        <v>3</v>
      </c>
      <c r="J3" s="12" t="n">
        <v>4</v>
      </c>
      <c r="K3" s="12" t="n">
        <v>2</v>
      </c>
      <c r="L3" s="12" t="n">
        <v>1</v>
      </c>
      <c r="M3" s="12" t="n">
        <v>1</v>
      </c>
      <c r="N3" s="12" t="n">
        <v>0</v>
      </c>
      <c r="O3" s="12" t="n">
        <v>0</v>
      </c>
      <c r="P3" s="12" t="n">
        <v>1</v>
      </c>
      <c r="Q3" s="12" t="n">
        <v>0</v>
      </c>
      <c r="R3" s="12" t="n">
        <v>0</v>
      </c>
      <c r="S3" s="12" t="n">
        <v>0</v>
      </c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</row>
    <row r="4">
      <c r="A4" s="12" t="inlineStr">
        <is>
          <t>EXAMPLE</t>
        </is>
      </c>
      <c r="B4" s="12" t="inlineStr">
        <is>
          <t>Finish</t>
        </is>
      </c>
      <c r="C4" s="12" t="inlineStr">
        <is>
          <t>2026-11-24</t>
        </is>
      </c>
      <c r="D4" s="12" t="n">
        <v>3</v>
      </c>
      <c r="E4" s="12" t="n">
        <v>3</v>
      </c>
      <c r="F4" s="12" t="n">
        <v>3</v>
      </c>
      <c r="G4" s="12" t="n">
        <v>3</v>
      </c>
      <c r="H4" s="12" t="n">
        <v>3</v>
      </c>
      <c r="I4" s="12" t="n">
        <v>4</v>
      </c>
      <c r="J4" s="12" t="n">
        <v>4</v>
      </c>
      <c r="K4" s="12" t="n">
        <v>3</v>
      </c>
      <c r="L4" s="12" t="n">
        <v>1</v>
      </c>
      <c r="M4" s="12" t="n">
        <v>1</v>
      </c>
      <c r="N4" s="12" t="n">
        <v>1</v>
      </c>
      <c r="O4" s="12" t="n">
        <v>1</v>
      </c>
      <c r="P4" s="12" t="n">
        <v>1</v>
      </c>
      <c r="Q4" s="12" t="n">
        <v>1</v>
      </c>
      <c r="R4" s="12" t="n">
        <v>1</v>
      </c>
      <c r="S4" s="12" t="n">
        <v>0</v>
      </c>
      <c r="T4" s="12" t="n"/>
      <c r="U4" s="12" t="n"/>
      <c r="V4" s="12" t="n"/>
      <c r="W4" s="12" t="n"/>
      <c r="X4" s="12" t="n"/>
      <c r="Y4" s="12" t="n"/>
      <c r="Z4" s="12" t="n">
        <v>3</v>
      </c>
      <c r="AA4" s="12" t="n">
        <v>2</v>
      </c>
      <c r="AB4" s="12" t="n">
        <v>3</v>
      </c>
      <c r="AC4" s="12" t="n">
        <v>3</v>
      </c>
      <c r="AD4" s="12" t="n">
        <v>2</v>
      </c>
      <c r="AE4" s="12" t="n">
        <v>3</v>
      </c>
      <c r="AF4" s="12" t="n"/>
      <c r="AG4" s="12" t="n"/>
      <c r="AH4" s="12" t="n"/>
      <c r="AI4" s="12" t="n"/>
      <c r="AJ4" s="12" t="n"/>
      <c r="AK4" s="12" t="n"/>
      <c r="AL4" s="12" t="n">
        <v>2</v>
      </c>
      <c r="AM4" s="12" t="n">
        <v>2</v>
      </c>
      <c r="AN4" s="12" t="n">
        <v>3</v>
      </c>
      <c r="AO4" s="12" t="n">
        <v>2</v>
      </c>
      <c r="AP4" s="12" t="n">
        <v>2</v>
      </c>
      <c r="AQ4" s="12" t="n">
        <v>2</v>
      </c>
      <c r="AR4" s="12" t="n">
        <v>2</v>
      </c>
      <c r="AS4" s="12" t="inlineStr">
        <is>
          <t>Yes</t>
        </is>
      </c>
      <c r="AT4" s="12" t="inlineStr">
        <is>
          <t>Yes</t>
        </is>
      </c>
      <c r="AU4" s="12" t="inlineStr">
        <is>
          <t>Yes</t>
        </is>
      </c>
      <c r="AV4" s="12" t="inlineStr">
        <is>
          <t>Maybe</t>
        </is>
      </c>
      <c r="AW4" s="12" t="inlineStr">
        <is>
          <t>Favorite was Mission to Mars because we planned it ourselves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  <c r="AW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  <c r="AW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  <c r="AL84" s="13" t="n"/>
      <c r="AM84" s="13" t="n"/>
      <c r="AN84" s="13" t="n"/>
      <c r="AO84" s="13" t="n"/>
      <c r="AP84" s="13" t="n"/>
      <c r="AQ84" s="13" t="n"/>
      <c r="AR84" s="13" t="n"/>
      <c r="AS84" s="13" t="n"/>
      <c r="AT84" s="13" t="n"/>
      <c r="AU84" s="13" t="n"/>
      <c r="AV84" s="13" t="n"/>
      <c r="AW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  <c r="AL85" s="13" t="n"/>
      <c r="AM85" s="13" t="n"/>
      <c r="AN85" s="13" t="n"/>
      <c r="AO85" s="13" t="n"/>
      <c r="AP85" s="13" t="n"/>
      <c r="AQ85" s="13" t="n"/>
      <c r="AR85" s="13" t="n"/>
      <c r="AS85" s="13" t="n"/>
      <c r="AT85" s="13" t="n"/>
      <c r="AU85" s="13" t="n"/>
      <c r="AV85" s="13" t="n"/>
      <c r="AW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  <c r="AL86" s="13" t="n"/>
      <c r="AM86" s="13" t="n"/>
      <c r="AN86" s="13" t="n"/>
      <c r="AO86" s="13" t="n"/>
      <c r="AP86" s="13" t="n"/>
      <c r="AQ86" s="13" t="n"/>
      <c r="AR86" s="13" t="n"/>
      <c r="AS86" s="13" t="n"/>
      <c r="AT86" s="13" t="n"/>
      <c r="AU86" s="13" t="n"/>
      <c r="AV86" s="13" t="n"/>
      <c r="AW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  <c r="AL87" s="13" t="n"/>
      <c r="AM87" s="13" t="n"/>
      <c r="AN87" s="13" t="n"/>
      <c r="AO87" s="13" t="n"/>
      <c r="AP87" s="13" t="n"/>
      <c r="AQ87" s="13" t="n"/>
      <c r="AR87" s="13" t="n"/>
      <c r="AS87" s="13" t="n"/>
      <c r="AT87" s="13" t="n"/>
      <c r="AU87" s="13" t="n"/>
      <c r="AV87" s="13" t="n"/>
      <c r="AW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  <c r="AF88" s="13" t="n"/>
      <c r="AG88" s="13" t="n"/>
      <c r="AH88" s="13" t="n"/>
      <c r="AI88" s="13" t="n"/>
      <c r="AJ88" s="13" t="n"/>
      <c r="AK88" s="13" t="n"/>
      <c r="AL88" s="13" t="n"/>
      <c r="AM88" s="13" t="n"/>
      <c r="AN88" s="13" t="n"/>
      <c r="AO88" s="13" t="n"/>
      <c r="AP88" s="13" t="n"/>
      <c r="AQ88" s="13" t="n"/>
      <c r="AR88" s="13" t="n"/>
      <c r="AS88" s="13" t="n"/>
      <c r="AT88" s="13" t="n"/>
      <c r="AU88" s="13" t="n"/>
      <c r="AV88" s="13" t="n"/>
      <c r="AW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  <c r="AL89" s="13" t="n"/>
      <c r="AM89" s="13" t="n"/>
      <c r="AN89" s="13" t="n"/>
      <c r="AO89" s="13" t="n"/>
      <c r="AP89" s="13" t="n"/>
      <c r="AQ89" s="13" t="n"/>
      <c r="AR89" s="13" t="n"/>
      <c r="AS89" s="13" t="n"/>
      <c r="AT89" s="13" t="n"/>
      <c r="AU89" s="13" t="n"/>
      <c r="AV89" s="13" t="n"/>
      <c r="AW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  <c r="AL90" s="13" t="n"/>
      <c r="AM90" s="13" t="n"/>
      <c r="AN90" s="13" t="n"/>
      <c r="AO90" s="13" t="n"/>
      <c r="AP90" s="13" t="n"/>
      <c r="AQ90" s="13" t="n"/>
      <c r="AR90" s="13" t="n"/>
      <c r="AS90" s="13" t="n"/>
      <c r="AT90" s="13" t="n"/>
      <c r="AU90" s="13" t="n"/>
      <c r="AV90" s="13" t="n"/>
      <c r="AW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  <c r="AL91" s="13" t="n"/>
      <c r="AM91" s="13" t="n"/>
      <c r="AN91" s="13" t="n"/>
      <c r="AO91" s="13" t="n"/>
      <c r="AP91" s="13" t="n"/>
      <c r="AQ91" s="13" t="n"/>
      <c r="AR91" s="13" t="n"/>
      <c r="AS91" s="13" t="n"/>
      <c r="AT91" s="13" t="n"/>
      <c r="AU91" s="13" t="n"/>
      <c r="AV91" s="13" t="n"/>
      <c r="AW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  <c r="AL92" s="13" t="n"/>
      <c r="AM92" s="13" t="n"/>
      <c r="AN92" s="13" t="n"/>
      <c r="AO92" s="13" t="n"/>
      <c r="AP92" s="13" t="n"/>
      <c r="AQ92" s="13" t="n"/>
      <c r="AR92" s="13" t="n"/>
      <c r="AS92" s="13" t="n"/>
      <c r="AT92" s="13" t="n"/>
      <c r="AU92" s="13" t="n"/>
      <c r="AV92" s="13" t="n"/>
      <c r="AW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3" t="n"/>
      <c r="AS93" s="13" t="n"/>
      <c r="AT93" s="13" t="n"/>
      <c r="AU93" s="13" t="n"/>
      <c r="AV93" s="13" t="n"/>
      <c r="AW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  <c r="AF94" s="13" t="n"/>
      <c r="AG94" s="13" t="n"/>
      <c r="AH94" s="13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3" t="n"/>
      <c r="AS94" s="13" t="n"/>
      <c r="AT94" s="13" t="n"/>
      <c r="AU94" s="13" t="n"/>
      <c r="AV94" s="13" t="n"/>
      <c r="AW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3" t="n"/>
      <c r="AS95" s="13" t="n"/>
      <c r="AT95" s="13" t="n"/>
      <c r="AU95" s="13" t="n"/>
      <c r="AV95" s="13" t="n"/>
      <c r="AW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3" t="n"/>
      <c r="AS96" s="13" t="n"/>
      <c r="AT96" s="13" t="n"/>
      <c r="AU96" s="13" t="n"/>
      <c r="AV96" s="13" t="n"/>
      <c r="AW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3" t="n"/>
      <c r="AS97" s="13" t="n"/>
      <c r="AT97" s="13" t="n"/>
      <c r="AU97" s="13" t="n"/>
      <c r="AV97" s="13" t="n"/>
      <c r="AW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  <c r="AL98" s="13" t="n"/>
      <c r="AM98" s="13" t="n"/>
      <c r="AN98" s="13" t="n"/>
      <c r="AO98" s="13" t="n"/>
      <c r="AP98" s="13" t="n"/>
      <c r="AQ98" s="13" t="n"/>
      <c r="AR98" s="13" t="n"/>
      <c r="AS98" s="13" t="n"/>
      <c r="AT98" s="13" t="n"/>
      <c r="AU98" s="13" t="n"/>
      <c r="AV98" s="13" t="n"/>
      <c r="AW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3" t="n"/>
      <c r="AS99" s="13" t="n"/>
      <c r="AT99" s="13" t="n"/>
      <c r="AU99" s="13" t="n"/>
      <c r="AV99" s="13" t="n"/>
      <c r="AW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  <c r="AL100" s="13" t="n"/>
      <c r="AM100" s="13" t="n"/>
      <c r="AN100" s="13" t="n"/>
      <c r="AO100" s="13" t="n"/>
      <c r="AP100" s="13" t="n"/>
      <c r="AQ100" s="13" t="n"/>
      <c r="AR100" s="13" t="n"/>
      <c r="AS100" s="13" t="n"/>
      <c r="AT100" s="13" t="n"/>
      <c r="AU100" s="13" t="n"/>
      <c r="AV100" s="13" t="n"/>
      <c r="AW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  <c r="AL102" s="13" t="n"/>
      <c r="AM102" s="13" t="n"/>
      <c r="AN102" s="13" t="n"/>
      <c r="AO102" s="13" t="n"/>
      <c r="AP102" s="13" t="n"/>
      <c r="AQ102" s="13" t="n"/>
      <c r="AR102" s="13" t="n"/>
      <c r="AS102" s="13" t="n"/>
      <c r="AT102" s="13" t="n"/>
      <c r="AU102" s="13" t="n"/>
      <c r="AV102" s="13" t="n"/>
      <c r="AW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  <c r="AL103" s="13" t="n"/>
      <c r="AM103" s="13" t="n"/>
      <c r="AN103" s="13" t="n"/>
      <c r="AO103" s="13" t="n"/>
      <c r="AP103" s="13" t="n"/>
      <c r="AQ103" s="13" t="n"/>
      <c r="AR103" s="13" t="n"/>
      <c r="AS103" s="13" t="n"/>
      <c r="AT103" s="13" t="n"/>
      <c r="AU103" s="13" t="n"/>
      <c r="AV103" s="13" t="n"/>
      <c r="AW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  <c r="AL104" s="13" t="n"/>
      <c r="AM104" s="13" t="n"/>
      <c r="AN104" s="13" t="n"/>
      <c r="AO104" s="13" t="n"/>
      <c r="AP104" s="13" t="n"/>
      <c r="AQ104" s="13" t="n"/>
      <c r="AR104" s="13" t="n"/>
      <c r="AS104" s="13" t="n"/>
      <c r="AT104" s="13" t="n"/>
      <c r="AU104" s="13" t="n"/>
      <c r="AV104" s="13" t="n"/>
      <c r="AW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  <c r="AP105" s="13" t="n"/>
      <c r="AQ105" s="13" t="n"/>
      <c r="AR105" s="13" t="n"/>
      <c r="AS105" s="13" t="n"/>
      <c r="AT105" s="13" t="n"/>
      <c r="AU105" s="13" t="n"/>
      <c r="AV105" s="13" t="n"/>
      <c r="AW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  <c r="AL106" s="13" t="n"/>
      <c r="AM106" s="13" t="n"/>
      <c r="AN106" s="13" t="n"/>
      <c r="AO106" s="13" t="n"/>
      <c r="AP106" s="13" t="n"/>
      <c r="AQ106" s="13" t="n"/>
      <c r="AR106" s="13" t="n"/>
      <c r="AS106" s="13" t="n"/>
      <c r="AT106" s="13" t="n"/>
      <c r="AU106" s="13" t="n"/>
      <c r="AV106" s="13" t="n"/>
      <c r="AW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  <c r="AM107" s="13" t="n"/>
      <c r="AN107" s="13" t="n"/>
      <c r="AO107" s="13" t="n"/>
      <c r="AP107" s="13" t="n"/>
      <c r="AQ107" s="13" t="n"/>
      <c r="AR107" s="13" t="n"/>
      <c r="AS107" s="13" t="n"/>
      <c r="AT107" s="13" t="n"/>
      <c r="AU107" s="13" t="n"/>
      <c r="AV107" s="13" t="n"/>
      <c r="AW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  <c r="AM108" s="13" t="n"/>
      <c r="AN108" s="13" t="n"/>
      <c r="AO108" s="13" t="n"/>
      <c r="AP108" s="13" t="n"/>
      <c r="AQ108" s="13" t="n"/>
      <c r="AR108" s="13" t="n"/>
      <c r="AS108" s="13" t="n"/>
      <c r="AT108" s="13" t="n"/>
      <c r="AU108" s="13" t="n"/>
      <c r="AV108" s="13" t="n"/>
      <c r="AW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  <c r="AF109" s="13" t="n"/>
      <c r="AG109" s="13" t="n"/>
      <c r="AH109" s="13" t="n"/>
      <c r="AI109" s="13" t="n"/>
      <c r="AJ109" s="13" t="n"/>
      <c r="AK109" s="13" t="n"/>
      <c r="AL109" s="13" t="n"/>
      <c r="AM109" s="13" t="n"/>
      <c r="AN109" s="13" t="n"/>
      <c r="AO109" s="13" t="n"/>
      <c r="AP109" s="13" t="n"/>
      <c r="AQ109" s="13" t="n"/>
      <c r="AR109" s="13" t="n"/>
      <c r="AS109" s="13" t="n"/>
      <c r="AT109" s="13" t="n"/>
      <c r="AU109" s="13" t="n"/>
      <c r="AV109" s="13" t="n"/>
      <c r="AW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  <c r="AL110" s="13" t="n"/>
      <c r="AM110" s="13" t="n"/>
      <c r="AN110" s="13" t="n"/>
      <c r="AO110" s="13" t="n"/>
      <c r="AP110" s="13" t="n"/>
      <c r="AQ110" s="13" t="n"/>
      <c r="AR110" s="13" t="n"/>
      <c r="AS110" s="13" t="n"/>
      <c r="AT110" s="13" t="n"/>
      <c r="AU110" s="13" t="n"/>
      <c r="AV110" s="13" t="n"/>
      <c r="AW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3" t="n"/>
      <c r="AS111" s="13" t="n"/>
      <c r="AT111" s="13" t="n"/>
      <c r="AU111" s="13" t="n"/>
      <c r="AV111" s="13" t="n"/>
      <c r="AW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  <c r="AL112" s="13" t="n"/>
      <c r="AM112" s="13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  <c r="AR113" s="13" t="n"/>
      <c r="AS113" s="13" t="n"/>
      <c r="AT113" s="13" t="n"/>
      <c r="AU113" s="13" t="n"/>
      <c r="AV113" s="13" t="n"/>
      <c r="AW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  <c r="AL114" s="13" t="n"/>
      <c r="AM114" s="13" t="n"/>
      <c r="AN114" s="13" t="n"/>
      <c r="AO114" s="13" t="n"/>
      <c r="AP114" s="13" t="n"/>
      <c r="AQ114" s="13" t="n"/>
      <c r="AR114" s="13" t="n"/>
      <c r="AS114" s="13" t="n"/>
      <c r="AT114" s="13" t="n"/>
      <c r="AU114" s="13" t="n"/>
      <c r="AV114" s="13" t="n"/>
      <c r="AW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  <c r="AF116" s="13" t="n"/>
      <c r="AG116" s="13" t="n"/>
      <c r="AH116" s="13" t="n"/>
      <c r="AI116" s="13" t="n"/>
      <c r="AJ116" s="13" t="n"/>
      <c r="AK116" s="13" t="n"/>
      <c r="AL116" s="13" t="n"/>
      <c r="AM116" s="13" t="n"/>
      <c r="AN116" s="13" t="n"/>
      <c r="AO116" s="13" t="n"/>
      <c r="AP116" s="13" t="n"/>
      <c r="AQ116" s="13" t="n"/>
      <c r="AR116" s="13" t="n"/>
      <c r="AS116" s="13" t="n"/>
      <c r="AT116" s="13" t="n"/>
      <c r="AU116" s="13" t="n"/>
      <c r="AV116" s="13" t="n"/>
      <c r="AW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3" t="n"/>
      <c r="AS117" s="13" t="n"/>
      <c r="AT117" s="13" t="n"/>
      <c r="AU117" s="13" t="n"/>
      <c r="AV117" s="13" t="n"/>
      <c r="AW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  <c r="AL118" s="13" t="n"/>
      <c r="AM118" s="13" t="n"/>
      <c r="AN118" s="13" t="n"/>
      <c r="AO118" s="13" t="n"/>
      <c r="AP118" s="13" t="n"/>
      <c r="AQ118" s="13" t="n"/>
      <c r="AR118" s="13" t="n"/>
      <c r="AS118" s="13" t="n"/>
      <c r="AT118" s="13" t="n"/>
      <c r="AU118" s="13" t="n"/>
      <c r="AV118" s="13" t="n"/>
      <c r="AW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  <c r="AL119" s="13" t="n"/>
      <c r="AM119" s="13" t="n"/>
      <c r="AN119" s="13" t="n"/>
      <c r="AO119" s="13" t="n"/>
      <c r="AP119" s="13" t="n"/>
      <c r="AQ119" s="13" t="n"/>
      <c r="AR119" s="13" t="n"/>
      <c r="AS119" s="13" t="n"/>
      <c r="AT119" s="13" t="n"/>
      <c r="AU119" s="13" t="n"/>
      <c r="AV119" s="13" t="n"/>
      <c r="AW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  <c r="AL120" s="13" t="n"/>
      <c r="AM120" s="13" t="n"/>
      <c r="AN120" s="13" t="n"/>
      <c r="AO120" s="13" t="n"/>
      <c r="AP120" s="13" t="n"/>
      <c r="AQ120" s="13" t="n"/>
      <c r="AR120" s="13" t="n"/>
      <c r="AS120" s="13" t="n"/>
      <c r="AT120" s="13" t="n"/>
      <c r="AU120" s="13" t="n"/>
      <c r="AV120" s="13" t="n"/>
      <c r="AW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  <c r="AL121" s="13" t="n"/>
      <c r="AM121" s="13" t="n"/>
      <c r="AN121" s="13" t="n"/>
      <c r="AO121" s="13" t="n"/>
      <c r="AP121" s="13" t="n"/>
      <c r="AQ121" s="13" t="n"/>
      <c r="AR121" s="13" t="n"/>
      <c r="AS121" s="13" t="n"/>
      <c r="AT121" s="13" t="n"/>
      <c r="AU121" s="13" t="n"/>
      <c r="AV121" s="13" t="n"/>
      <c r="AW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  <c r="AL122" s="13" t="n"/>
      <c r="AM122" s="13" t="n"/>
      <c r="AN122" s="13" t="n"/>
      <c r="AO122" s="13" t="n"/>
      <c r="AP122" s="13" t="n"/>
      <c r="AQ122" s="13" t="n"/>
      <c r="AR122" s="13" t="n"/>
      <c r="AS122" s="13" t="n"/>
      <c r="AT122" s="13" t="n"/>
      <c r="AU122" s="13" t="n"/>
      <c r="AV122" s="13" t="n"/>
      <c r="AW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  <c r="AL124" s="13" t="n"/>
      <c r="AM124" s="13" t="n"/>
      <c r="AN124" s="13" t="n"/>
      <c r="AO124" s="13" t="n"/>
      <c r="AP124" s="13" t="n"/>
      <c r="AQ124" s="13" t="n"/>
      <c r="AR124" s="13" t="n"/>
      <c r="AS124" s="13" t="n"/>
      <c r="AT124" s="13" t="n"/>
      <c r="AU124" s="13" t="n"/>
      <c r="AV124" s="13" t="n"/>
      <c r="AW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  <c r="AL125" s="13" t="n"/>
      <c r="AM125" s="13" t="n"/>
      <c r="AN125" s="13" t="n"/>
      <c r="AO125" s="13" t="n"/>
      <c r="AP125" s="13" t="n"/>
      <c r="AQ125" s="13" t="n"/>
      <c r="AR125" s="13" t="n"/>
      <c r="AS125" s="13" t="n"/>
      <c r="AT125" s="13" t="n"/>
      <c r="AU125" s="13" t="n"/>
      <c r="AV125" s="13" t="n"/>
      <c r="AW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  <c r="AL126" s="13" t="n"/>
      <c r="AM126" s="13" t="n"/>
      <c r="AN126" s="13" t="n"/>
      <c r="AO126" s="13" t="n"/>
      <c r="AP126" s="13" t="n"/>
      <c r="AQ126" s="13" t="n"/>
      <c r="AR126" s="13" t="n"/>
      <c r="AS126" s="13" t="n"/>
      <c r="AT126" s="13" t="n"/>
      <c r="AU126" s="13" t="n"/>
      <c r="AV126" s="13" t="n"/>
      <c r="AW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  <c r="AL127" s="13" t="n"/>
      <c r="AM127" s="13" t="n"/>
      <c r="AN127" s="13" t="n"/>
      <c r="AO127" s="13" t="n"/>
      <c r="AP127" s="13" t="n"/>
      <c r="AQ127" s="13" t="n"/>
      <c r="AR127" s="13" t="n"/>
      <c r="AS127" s="13" t="n"/>
      <c r="AT127" s="13" t="n"/>
      <c r="AU127" s="13" t="n"/>
      <c r="AV127" s="13" t="n"/>
      <c r="AW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  <c r="AL128" s="13" t="n"/>
      <c r="AM128" s="13" t="n"/>
      <c r="AN128" s="13" t="n"/>
      <c r="AO128" s="13" t="n"/>
      <c r="AP128" s="13" t="n"/>
      <c r="AQ128" s="13" t="n"/>
      <c r="AR128" s="13" t="n"/>
      <c r="AS128" s="13" t="n"/>
      <c r="AT128" s="13" t="n"/>
      <c r="AU128" s="13" t="n"/>
      <c r="AV128" s="13" t="n"/>
      <c r="AW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3" t="n"/>
      <c r="AS129" s="13" t="n"/>
      <c r="AT129" s="13" t="n"/>
      <c r="AU129" s="13" t="n"/>
      <c r="AV129" s="13" t="n"/>
      <c r="AW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3" t="n"/>
      <c r="AS131" s="13" t="n"/>
      <c r="AT131" s="13" t="n"/>
      <c r="AU131" s="13" t="n"/>
      <c r="AV131" s="13" t="n"/>
      <c r="AW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  <c r="AR132" s="13" t="n"/>
      <c r="AS132" s="13" t="n"/>
      <c r="AT132" s="13" t="n"/>
      <c r="AU132" s="13" t="n"/>
      <c r="AV132" s="13" t="n"/>
      <c r="AW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  <c r="AL133" s="13" t="n"/>
      <c r="AM133" s="13" t="n"/>
      <c r="AN133" s="13" t="n"/>
      <c r="AO133" s="13" t="n"/>
      <c r="AP133" s="13" t="n"/>
      <c r="AQ133" s="13" t="n"/>
      <c r="AR133" s="13" t="n"/>
      <c r="AS133" s="13" t="n"/>
      <c r="AT133" s="13" t="n"/>
      <c r="AU133" s="13" t="n"/>
      <c r="AV133" s="13" t="n"/>
      <c r="AW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  <c r="AL134" s="13" t="n"/>
      <c r="AM134" s="13" t="n"/>
      <c r="AN134" s="13" t="n"/>
      <c r="AO134" s="13" t="n"/>
      <c r="AP134" s="13" t="n"/>
      <c r="AQ134" s="13" t="n"/>
      <c r="AR134" s="13" t="n"/>
      <c r="AS134" s="13" t="n"/>
      <c r="AT134" s="13" t="n"/>
      <c r="AU134" s="13" t="n"/>
      <c r="AV134" s="13" t="n"/>
      <c r="AW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  <c r="AL135" s="13" t="n"/>
      <c r="AM135" s="13" t="n"/>
      <c r="AN135" s="13" t="n"/>
      <c r="AO135" s="13" t="n"/>
      <c r="AP135" s="13" t="n"/>
      <c r="AQ135" s="13" t="n"/>
      <c r="AR135" s="13" t="n"/>
      <c r="AS135" s="13" t="n"/>
      <c r="AT135" s="13" t="n"/>
      <c r="AU135" s="13" t="n"/>
      <c r="AV135" s="13" t="n"/>
      <c r="AW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13" t="n"/>
      <c r="AL136" s="13" t="n"/>
      <c r="AM136" s="13" t="n"/>
      <c r="AN136" s="13" t="n"/>
      <c r="AO136" s="13" t="n"/>
      <c r="AP136" s="13" t="n"/>
      <c r="AQ136" s="13" t="n"/>
      <c r="AR136" s="13" t="n"/>
      <c r="AS136" s="13" t="n"/>
      <c r="AT136" s="13" t="n"/>
      <c r="AU136" s="13" t="n"/>
      <c r="AV136" s="13" t="n"/>
      <c r="AW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13" t="n"/>
      <c r="AH137" s="13" t="n"/>
      <c r="AI137" s="13" t="n"/>
      <c r="AJ137" s="13" t="n"/>
      <c r="AK137" s="13" t="n"/>
      <c r="AL137" s="13" t="n"/>
      <c r="AM137" s="13" t="n"/>
      <c r="AN137" s="13" t="n"/>
      <c r="AO137" s="13" t="n"/>
      <c r="AP137" s="13" t="n"/>
      <c r="AQ137" s="13" t="n"/>
      <c r="AR137" s="13" t="n"/>
      <c r="AS137" s="13" t="n"/>
      <c r="AT137" s="13" t="n"/>
      <c r="AU137" s="13" t="n"/>
      <c r="AV137" s="13" t="n"/>
      <c r="AW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  <c r="AL138" s="13" t="n"/>
      <c r="AM138" s="13" t="n"/>
      <c r="AN138" s="13" t="n"/>
      <c r="AO138" s="13" t="n"/>
      <c r="AP138" s="13" t="n"/>
      <c r="AQ138" s="13" t="n"/>
      <c r="AR138" s="13" t="n"/>
      <c r="AS138" s="13" t="n"/>
      <c r="AT138" s="13" t="n"/>
      <c r="AU138" s="13" t="n"/>
      <c r="AV138" s="13" t="n"/>
      <c r="AW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  <c r="AF139" s="13" t="n"/>
      <c r="AG139" s="13" t="n"/>
      <c r="AH139" s="13" t="n"/>
      <c r="AI139" s="13" t="n"/>
      <c r="AJ139" s="13" t="n"/>
      <c r="AK139" s="13" t="n"/>
      <c r="AL139" s="13" t="n"/>
      <c r="AM139" s="13" t="n"/>
      <c r="AN139" s="13" t="n"/>
      <c r="AO139" s="13" t="n"/>
      <c r="AP139" s="13" t="n"/>
      <c r="AQ139" s="13" t="n"/>
      <c r="AR139" s="13" t="n"/>
      <c r="AS139" s="13" t="n"/>
      <c r="AT139" s="13" t="n"/>
      <c r="AU139" s="13" t="n"/>
      <c r="AV139" s="13" t="n"/>
      <c r="AW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  <c r="AF140" s="13" t="n"/>
      <c r="AG140" s="13" t="n"/>
      <c r="AH140" s="13" t="n"/>
      <c r="AI140" s="13" t="n"/>
      <c r="AJ140" s="13" t="n"/>
      <c r="AK140" s="13" t="n"/>
      <c r="AL140" s="13" t="n"/>
      <c r="AM140" s="13" t="n"/>
      <c r="AN140" s="13" t="n"/>
      <c r="AO140" s="13" t="n"/>
      <c r="AP140" s="13" t="n"/>
      <c r="AQ140" s="13" t="n"/>
      <c r="AR140" s="13" t="n"/>
      <c r="AS140" s="13" t="n"/>
      <c r="AT140" s="13" t="n"/>
      <c r="AU140" s="13" t="n"/>
      <c r="AV140" s="13" t="n"/>
      <c r="AW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  <c r="AF141" s="13" t="n"/>
      <c r="AG141" s="13" t="n"/>
      <c r="AH141" s="13" t="n"/>
      <c r="AI141" s="13" t="n"/>
      <c r="AJ141" s="13" t="n"/>
      <c r="AK141" s="13" t="n"/>
      <c r="AL141" s="13" t="n"/>
      <c r="AM141" s="13" t="n"/>
      <c r="AN141" s="13" t="n"/>
      <c r="AO141" s="13" t="n"/>
      <c r="AP141" s="13" t="n"/>
      <c r="AQ141" s="13" t="n"/>
      <c r="AR141" s="13" t="n"/>
      <c r="AS141" s="13" t="n"/>
      <c r="AT141" s="13" t="n"/>
      <c r="AU141" s="13" t="n"/>
      <c r="AV141" s="13" t="n"/>
      <c r="AW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13" t="n"/>
      <c r="AH142" s="13" t="n"/>
      <c r="AI142" s="13" t="n"/>
      <c r="AJ142" s="13" t="n"/>
      <c r="AK142" s="13" t="n"/>
      <c r="AL142" s="13" t="n"/>
      <c r="AM142" s="13" t="n"/>
      <c r="AN142" s="13" t="n"/>
      <c r="AO142" s="13" t="n"/>
      <c r="AP142" s="13" t="n"/>
      <c r="AQ142" s="13" t="n"/>
      <c r="AR142" s="13" t="n"/>
      <c r="AS142" s="13" t="n"/>
      <c r="AT142" s="13" t="n"/>
      <c r="AU142" s="13" t="n"/>
      <c r="AV142" s="13" t="n"/>
      <c r="AW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  <c r="AF143" s="13" t="n"/>
      <c r="AG143" s="13" t="n"/>
      <c r="AH143" s="13" t="n"/>
      <c r="AI143" s="13" t="n"/>
      <c r="AJ143" s="13" t="n"/>
      <c r="AK143" s="13" t="n"/>
      <c r="AL143" s="13" t="n"/>
      <c r="AM143" s="13" t="n"/>
      <c r="AN143" s="13" t="n"/>
      <c r="AO143" s="13" t="n"/>
      <c r="AP143" s="13" t="n"/>
      <c r="AQ143" s="13" t="n"/>
      <c r="AR143" s="13" t="n"/>
      <c r="AS143" s="13" t="n"/>
      <c r="AT143" s="13" t="n"/>
      <c r="AU143" s="13" t="n"/>
      <c r="AV143" s="13" t="n"/>
      <c r="AW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  <c r="AF144" s="13" t="n"/>
      <c r="AG144" s="13" t="n"/>
      <c r="AH144" s="13" t="n"/>
      <c r="AI144" s="13" t="n"/>
      <c r="AJ144" s="13" t="n"/>
      <c r="AK144" s="13" t="n"/>
      <c r="AL144" s="13" t="n"/>
      <c r="AM144" s="13" t="n"/>
      <c r="AN144" s="13" t="n"/>
      <c r="AO144" s="13" t="n"/>
      <c r="AP144" s="13" t="n"/>
      <c r="AQ144" s="13" t="n"/>
      <c r="AR144" s="13" t="n"/>
      <c r="AS144" s="13" t="n"/>
      <c r="AT144" s="13" t="n"/>
      <c r="AU144" s="13" t="n"/>
      <c r="AV144" s="13" t="n"/>
      <c r="AW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  <c r="AF145" s="13" t="n"/>
      <c r="AG145" s="13" t="n"/>
      <c r="AH145" s="13" t="n"/>
      <c r="AI145" s="13" t="n"/>
      <c r="AJ145" s="13" t="n"/>
      <c r="AK145" s="13" t="n"/>
      <c r="AL145" s="13" t="n"/>
      <c r="AM145" s="13" t="n"/>
      <c r="AN145" s="13" t="n"/>
      <c r="AO145" s="13" t="n"/>
      <c r="AP145" s="13" t="n"/>
      <c r="AQ145" s="13" t="n"/>
      <c r="AR145" s="13" t="n"/>
      <c r="AS145" s="13" t="n"/>
      <c r="AT145" s="13" t="n"/>
      <c r="AU145" s="13" t="n"/>
      <c r="AV145" s="13" t="n"/>
      <c r="AW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  <c r="AF146" s="13" t="n"/>
      <c r="AG146" s="13" t="n"/>
      <c r="AH146" s="13" t="n"/>
      <c r="AI146" s="13" t="n"/>
      <c r="AJ146" s="13" t="n"/>
      <c r="AK146" s="13" t="n"/>
      <c r="AL146" s="13" t="n"/>
      <c r="AM146" s="13" t="n"/>
      <c r="AN146" s="13" t="n"/>
      <c r="AO146" s="13" t="n"/>
      <c r="AP146" s="13" t="n"/>
      <c r="AQ146" s="13" t="n"/>
      <c r="AR146" s="13" t="n"/>
      <c r="AS146" s="13" t="n"/>
      <c r="AT146" s="13" t="n"/>
      <c r="AU146" s="13" t="n"/>
      <c r="AV146" s="13" t="n"/>
      <c r="AW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  <c r="AF147" s="13" t="n"/>
      <c r="AG147" s="13" t="n"/>
      <c r="AH147" s="13" t="n"/>
      <c r="AI147" s="13" t="n"/>
      <c r="AJ147" s="13" t="n"/>
      <c r="AK147" s="13" t="n"/>
      <c r="AL147" s="13" t="n"/>
      <c r="AM147" s="13" t="n"/>
      <c r="AN147" s="13" t="n"/>
      <c r="AO147" s="13" t="n"/>
      <c r="AP147" s="13" t="n"/>
      <c r="AQ147" s="13" t="n"/>
      <c r="AR147" s="13" t="n"/>
      <c r="AS147" s="13" t="n"/>
      <c r="AT147" s="13" t="n"/>
      <c r="AU147" s="13" t="n"/>
      <c r="AV147" s="13" t="n"/>
      <c r="AW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  <c r="AF148" s="13" t="n"/>
      <c r="AG148" s="13" t="n"/>
      <c r="AH148" s="13" t="n"/>
      <c r="AI148" s="13" t="n"/>
      <c r="AJ148" s="13" t="n"/>
      <c r="AK148" s="13" t="n"/>
      <c r="AL148" s="13" t="n"/>
      <c r="AM148" s="13" t="n"/>
      <c r="AN148" s="13" t="n"/>
      <c r="AO148" s="13" t="n"/>
      <c r="AP148" s="13" t="n"/>
      <c r="AQ148" s="13" t="n"/>
      <c r="AR148" s="13" t="n"/>
      <c r="AS148" s="13" t="n"/>
      <c r="AT148" s="13" t="n"/>
      <c r="AU148" s="13" t="n"/>
      <c r="AV148" s="13" t="n"/>
      <c r="AW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  <c r="AF149" s="13" t="n"/>
      <c r="AG149" s="13" t="n"/>
      <c r="AH149" s="13" t="n"/>
      <c r="AI149" s="13" t="n"/>
      <c r="AJ149" s="13" t="n"/>
      <c r="AK149" s="13" t="n"/>
      <c r="AL149" s="13" t="n"/>
      <c r="AM149" s="13" t="n"/>
      <c r="AN149" s="13" t="n"/>
      <c r="AO149" s="13" t="n"/>
      <c r="AP149" s="13" t="n"/>
      <c r="AQ149" s="13" t="n"/>
      <c r="AR149" s="13" t="n"/>
      <c r="AS149" s="13" t="n"/>
      <c r="AT149" s="13" t="n"/>
      <c r="AU149" s="13" t="n"/>
      <c r="AV149" s="13" t="n"/>
      <c r="AW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  <c r="AF150" s="13" t="n"/>
      <c r="AG150" s="13" t="n"/>
      <c r="AH150" s="13" t="n"/>
      <c r="AI150" s="13" t="n"/>
      <c r="AJ150" s="13" t="n"/>
      <c r="AK150" s="13" t="n"/>
      <c r="AL150" s="13" t="n"/>
      <c r="AM150" s="13" t="n"/>
      <c r="AN150" s="13" t="n"/>
      <c r="AO150" s="13" t="n"/>
      <c r="AP150" s="13" t="n"/>
      <c r="AQ150" s="13" t="n"/>
      <c r="AR150" s="13" t="n"/>
      <c r="AS150" s="13" t="n"/>
      <c r="AT150" s="13" t="n"/>
      <c r="AU150" s="13" t="n"/>
      <c r="AV150" s="13" t="n"/>
      <c r="AW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  <c r="AF151" s="13" t="n"/>
      <c r="AG151" s="13" t="n"/>
      <c r="AH151" s="13" t="n"/>
      <c r="AI151" s="13" t="n"/>
      <c r="AJ151" s="13" t="n"/>
      <c r="AK151" s="13" t="n"/>
      <c r="AL151" s="13" t="n"/>
      <c r="AM151" s="13" t="n"/>
      <c r="AN151" s="13" t="n"/>
      <c r="AO151" s="13" t="n"/>
      <c r="AP151" s="13" t="n"/>
      <c r="AQ151" s="13" t="n"/>
      <c r="AR151" s="13" t="n"/>
      <c r="AS151" s="13" t="n"/>
      <c r="AT151" s="13" t="n"/>
      <c r="AU151" s="13" t="n"/>
      <c r="AV151" s="13" t="n"/>
      <c r="AW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13" t="n"/>
      <c r="AH152" s="13" t="n"/>
      <c r="AI152" s="13" t="n"/>
      <c r="AJ152" s="13" t="n"/>
      <c r="AK152" s="13" t="n"/>
      <c r="AL152" s="13" t="n"/>
      <c r="AM152" s="13" t="n"/>
      <c r="AN152" s="13" t="n"/>
      <c r="AO152" s="13" t="n"/>
      <c r="AP152" s="13" t="n"/>
      <c r="AQ152" s="13" t="n"/>
      <c r="AR152" s="13" t="n"/>
      <c r="AS152" s="13" t="n"/>
      <c r="AT152" s="13" t="n"/>
      <c r="AU152" s="13" t="n"/>
      <c r="AV152" s="13" t="n"/>
      <c r="AW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  <c r="AR153" s="13" t="n"/>
      <c r="AS153" s="13" t="n"/>
      <c r="AT153" s="13" t="n"/>
      <c r="AU153" s="13" t="n"/>
      <c r="AV153" s="13" t="n"/>
      <c r="AW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  <c r="AF154" s="13" t="n"/>
      <c r="AG154" s="13" t="n"/>
      <c r="AH154" s="13" t="n"/>
      <c r="AI154" s="13" t="n"/>
      <c r="AJ154" s="13" t="n"/>
      <c r="AK154" s="13" t="n"/>
      <c r="AL154" s="13" t="n"/>
      <c r="AM154" s="13" t="n"/>
      <c r="AN154" s="13" t="n"/>
      <c r="AO154" s="13" t="n"/>
      <c r="AP154" s="13" t="n"/>
      <c r="AQ154" s="13" t="n"/>
      <c r="AR154" s="13" t="n"/>
      <c r="AS154" s="13" t="n"/>
      <c r="AT154" s="13" t="n"/>
      <c r="AU154" s="13" t="n"/>
      <c r="AV154" s="13" t="n"/>
      <c r="AW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  <c r="AF155" s="13" t="n"/>
      <c r="AG155" s="13" t="n"/>
      <c r="AH155" s="13" t="n"/>
      <c r="AI155" s="13" t="n"/>
      <c r="AJ155" s="13" t="n"/>
      <c r="AK155" s="13" t="n"/>
      <c r="AL155" s="13" t="n"/>
      <c r="AM155" s="13" t="n"/>
      <c r="AN155" s="13" t="n"/>
      <c r="AO155" s="13" t="n"/>
      <c r="AP155" s="13" t="n"/>
      <c r="AQ155" s="13" t="n"/>
      <c r="AR155" s="13" t="n"/>
      <c r="AS155" s="13" t="n"/>
      <c r="AT155" s="13" t="n"/>
      <c r="AU155" s="13" t="n"/>
      <c r="AV155" s="13" t="n"/>
      <c r="AW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  <c r="AF156" s="13" t="n"/>
      <c r="AG156" s="13" t="n"/>
      <c r="AH156" s="13" t="n"/>
      <c r="AI156" s="13" t="n"/>
      <c r="AJ156" s="13" t="n"/>
      <c r="AK156" s="13" t="n"/>
      <c r="AL156" s="13" t="n"/>
      <c r="AM156" s="13" t="n"/>
      <c r="AN156" s="13" t="n"/>
      <c r="AO156" s="13" t="n"/>
      <c r="AP156" s="13" t="n"/>
      <c r="AQ156" s="13" t="n"/>
      <c r="AR156" s="13" t="n"/>
      <c r="AS156" s="13" t="n"/>
      <c r="AT156" s="13" t="n"/>
      <c r="AU156" s="13" t="n"/>
      <c r="AV156" s="13" t="n"/>
      <c r="AW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  <c r="AL157" s="13" t="n"/>
      <c r="AM157" s="13" t="n"/>
      <c r="AN157" s="13" t="n"/>
      <c r="AO157" s="13" t="n"/>
      <c r="AP157" s="13" t="n"/>
      <c r="AQ157" s="13" t="n"/>
      <c r="AR157" s="13" t="n"/>
      <c r="AS157" s="13" t="n"/>
      <c r="AT157" s="13" t="n"/>
      <c r="AU157" s="13" t="n"/>
      <c r="AV157" s="13" t="n"/>
      <c r="AW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  <c r="AF158" s="13" t="n"/>
      <c r="AG158" s="13" t="n"/>
      <c r="AH158" s="13" t="n"/>
      <c r="AI158" s="13" t="n"/>
      <c r="AJ158" s="13" t="n"/>
      <c r="AK158" s="13" t="n"/>
      <c r="AL158" s="13" t="n"/>
      <c r="AM158" s="13" t="n"/>
      <c r="AN158" s="13" t="n"/>
      <c r="AO158" s="13" t="n"/>
      <c r="AP158" s="13" t="n"/>
      <c r="AQ158" s="13" t="n"/>
      <c r="AR158" s="13" t="n"/>
      <c r="AS158" s="13" t="n"/>
      <c r="AT158" s="13" t="n"/>
      <c r="AU158" s="13" t="n"/>
      <c r="AV158" s="13" t="n"/>
      <c r="AW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  <c r="AF159" s="13" t="n"/>
      <c r="AG159" s="13" t="n"/>
      <c r="AH159" s="13" t="n"/>
      <c r="AI159" s="13" t="n"/>
      <c r="AJ159" s="13" t="n"/>
      <c r="AK159" s="13" t="n"/>
      <c r="AL159" s="13" t="n"/>
      <c r="AM159" s="13" t="n"/>
      <c r="AN159" s="13" t="n"/>
      <c r="AO159" s="13" t="n"/>
      <c r="AP159" s="13" t="n"/>
      <c r="AQ159" s="13" t="n"/>
      <c r="AR159" s="13" t="n"/>
      <c r="AS159" s="13" t="n"/>
      <c r="AT159" s="13" t="n"/>
      <c r="AU159" s="13" t="n"/>
      <c r="AV159" s="13" t="n"/>
      <c r="AW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  <c r="AF160" s="13" t="n"/>
      <c r="AG160" s="13" t="n"/>
      <c r="AH160" s="13" t="n"/>
      <c r="AI160" s="13" t="n"/>
      <c r="AJ160" s="13" t="n"/>
      <c r="AK160" s="13" t="n"/>
      <c r="AL160" s="13" t="n"/>
      <c r="AM160" s="13" t="n"/>
      <c r="AN160" s="13" t="n"/>
      <c r="AO160" s="13" t="n"/>
      <c r="AP160" s="13" t="n"/>
      <c r="AQ160" s="13" t="n"/>
      <c r="AR160" s="13" t="n"/>
      <c r="AS160" s="13" t="n"/>
      <c r="AT160" s="13" t="n"/>
      <c r="AU160" s="13" t="n"/>
      <c r="AV160" s="13" t="n"/>
      <c r="AW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  <c r="AF161" s="13" t="n"/>
      <c r="AG161" s="13" t="n"/>
      <c r="AH161" s="13" t="n"/>
      <c r="AI161" s="13" t="n"/>
      <c r="AJ161" s="13" t="n"/>
      <c r="AK161" s="13" t="n"/>
      <c r="AL161" s="13" t="n"/>
      <c r="AM161" s="13" t="n"/>
      <c r="AN161" s="13" t="n"/>
      <c r="AO161" s="13" t="n"/>
      <c r="AP161" s="13" t="n"/>
      <c r="AQ161" s="13" t="n"/>
      <c r="AR161" s="13" t="n"/>
      <c r="AS161" s="13" t="n"/>
      <c r="AT161" s="13" t="n"/>
      <c r="AU161" s="13" t="n"/>
      <c r="AV161" s="13" t="n"/>
      <c r="AW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  <c r="AL162" s="13" t="n"/>
      <c r="AM162" s="13" t="n"/>
      <c r="AN162" s="13" t="n"/>
      <c r="AO162" s="13" t="n"/>
      <c r="AP162" s="13" t="n"/>
      <c r="AQ162" s="13" t="n"/>
      <c r="AR162" s="13" t="n"/>
      <c r="AS162" s="13" t="n"/>
      <c r="AT162" s="13" t="n"/>
      <c r="AU162" s="13" t="n"/>
      <c r="AV162" s="13" t="n"/>
      <c r="AW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  <c r="AF163" s="13" t="n"/>
      <c r="AG163" s="13" t="n"/>
      <c r="AH163" s="13" t="n"/>
      <c r="AI163" s="13" t="n"/>
      <c r="AJ163" s="13" t="n"/>
      <c r="AK163" s="13" t="n"/>
      <c r="AL163" s="13" t="n"/>
      <c r="AM163" s="13" t="n"/>
      <c r="AN163" s="13" t="n"/>
      <c r="AO163" s="13" t="n"/>
      <c r="AP163" s="13" t="n"/>
      <c r="AQ163" s="13" t="n"/>
      <c r="AR163" s="13" t="n"/>
      <c r="AS163" s="13" t="n"/>
      <c r="AT163" s="13" t="n"/>
      <c r="AU163" s="13" t="n"/>
      <c r="AV163" s="13" t="n"/>
      <c r="AW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  <c r="AF164" s="13" t="n"/>
      <c r="AG164" s="13" t="n"/>
      <c r="AH164" s="13" t="n"/>
      <c r="AI164" s="13" t="n"/>
      <c r="AJ164" s="13" t="n"/>
      <c r="AK164" s="13" t="n"/>
      <c r="AL164" s="13" t="n"/>
      <c r="AM164" s="13" t="n"/>
      <c r="AN164" s="13" t="n"/>
      <c r="AO164" s="13" t="n"/>
      <c r="AP164" s="13" t="n"/>
      <c r="AQ164" s="13" t="n"/>
      <c r="AR164" s="13" t="n"/>
      <c r="AS164" s="13" t="n"/>
      <c r="AT164" s="13" t="n"/>
      <c r="AU164" s="13" t="n"/>
      <c r="AV164" s="13" t="n"/>
      <c r="AW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  <c r="AL165" s="13" t="n"/>
      <c r="AM165" s="13" t="n"/>
      <c r="AN165" s="13" t="n"/>
      <c r="AO165" s="13" t="n"/>
      <c r="AP165" s="13" t="n"/>
      <c r="AQ165" s="13" t="n"/>
      <c r="AR165" s="13" t="n"/>
      <c r="AS165" s="13" t="n"/>
      <c r="AT165" s="13" t="n"/>
      <c r="AU165" s="13" t="n"/>
      <c r="AV165" s="13" t="n"/>
      <c r="AW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  <c r="AL166" s="13" t="n"/>
      <c r="AM166" s="13" t="n"/>
      <c r="AN166" s="13" t="n"/>
      <c r="AO166" s="13" t="n"/>
      <c r="AP166" s="13" t="n"/>
      <c r="AQ166" s="13" t="n"/>
      <c r="AR166" s="13" t="n"/>
      <c r="AS166" s="13" t="n"/>
      <c r="AT166" s="13" t="n"/>
      <c r="AU166" s="13" t="n"/>
      <c r="AV166" s="13" t="n"/>
      <c r="AW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  <c r="AF167" s="13" t="n"/>
      <c r="AG167" s="13" t="n"/>
      <c r="AH167" s="13" t="n"/>
      <c r="AI167" s="13" t="n"/>
      <c r="AJ167" s="13" t="n"/>
      <c r="AK167" s="13" t="n"/>
      <c r="AL167" s="13" t="n"/>
      <c r="AM167" s="13" t="n"/>
      <c r="AN167" s="13" t="n"/>
      <c r="AO167" s="13" t="n"/>
      <c r="AP167" s="13" t="n"/>
      <c r="AQ167" s="13" t="n"/>
      <c r="AR167" s="13" t="n"/>
      <c r="AS167" s="13" t="n"/>
      <c r="AT167" s="13" t="n"/>
      <c r="AU167" s="13" t="n"/>
      <c r="AV167" s="13" t="n"/>
      <c r="AW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  <c r="AL168" s="13" t="n"/>
      <c r="AM168" s="13" t="n"/>
      <c r="AN168" s="13" t="n"/>
      <c r="AO168" s="13" t="n"/>
      <c r="AP168" s="13" t="n"/>
      <c r="AQ168" s="13" t="n"/>
      <c r="AR168" s="13" t="n"/>
      <c r="AS168" s="13" t="n"/>
      <c r="AT168" s="13" t="n"/>
      <c r="AU168" s="13" t="n"/>
      <c r="AV168" s="13" t="n"/>
      <c r="AW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  <c r="AL169" s="13" t="n"/>
      <c r="AM169" s="13" t="n"/>
      <c r="AN169" s="13" t="n"/>
      <c r="AO169" s="13" t="n"/>
      <c r="AP169" s="13" t="n"/>
      <c r="AQ169" s="13" t="n"/>
      <c r="AR169" s="13" t="n"/>
      <c r="AS169" s="13" t="n"/>
      <c r="AT169" s="13" t="n"/>
      <c r="AU169" s="13" t="n"/>
      <c r="AV169" s="13" t="n"/>
      <c r="AW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/>
      <c r="AG170" s="13" t="n"/>
      <c r="AH170" s="13" t="n"/>
      <c r="AI170" s="13" t="n"/>
      <c r="AJ170" s="13" t="n"/>
      <c r="AK170" s="13" t="n"/>
      <c r="AL170" s="13" t="n"/>
      <c r="AM170" s="13" t="n"/>
      <c r="AN170" s="13" t="n"/>
      <c r="AO170" s="13" t="n"/>
      <c r="AP170" s="13" t="n"/>
      <c r="AQ170" s="13" t="n"/>
      <c r="AR170" s="13" t="n"/>
      <c r="AS170" s="13" t="n"/>
      <c r="AT170" s="13" t="n"/>
      <c r="AU170" s="13" t="n"/>
      <c r="AV170" s="13" t="n"/>
      <c r="AW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  <c r="AF171" s="13" t="n"/>
      <c r="AG171" s="13" t="n"/>
      <c r="AH171" s="13" t="n"/>
      <c r="AI171" s="13" t="n"/>
      <c r="AJ171" s="13" t="n"/>
      <c r="AK171" s="13" t="n"/>
      <c r="AL171" s="13" t="n"/>
      <c r="AM171" s="13" t="n"/>
      <c r="AN171" s="13" t="n"/>
      <c r="AO171" s="13" t="n"/>
      <c r="AP171" s="13" t="n"/>
      <c r="AQ171" s="13" t="n"/>
      <c r="AR171" s="13" t="n"/>
      <c r="AS171" s="13" t="n"/>
      <c r="AT171" s="13" t="n"/>
      <c r="AU171" s="13" t="n"/>
      <c r="AV171" s="13" t="n"/>
      <c r="AW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  <c r="AM172" s="13" t="n"/>
      <c r="AN172" s="13" t="n"/>
      <c r="AO172" s="13" t="n"/>
      <c r="AP172" s="13" t="n"/>
      <c r="AQ172" s="13" t="n"/>
      <c r="AR172" s="13" t="n"/>
      <c r="AS172" s="13" t="n"/>
      <c r="AT172" s="13" t="n"/>
      <c r="AU172" s="13" t="n"/>
      <c r="AV172" s="13" t="n"/>
      <c r="AW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  <c r="AL173" s="13" t="n"/>
      <c r="AM173" s="13" t="n"/>
      <c r="AN173" s="13" t="n"/>
      <c r="AO173" s="13" t="n"/>
      <c r="AP173" s="13" t="n"/>
      <c r="AQ173" s="13" t="n"/>
      <c r="AR173" s="13" t="n"/>
      <c r="AS173" s="13" t="n"/>
      <c r="AT173" s="13" t="n"/>
      <c r="AU173" s="13" t="n"/>
      <c r="AV173" s="13" t="n"/>
      <c r="AW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  <c r="AL174" s="13" t="n"/>
      <c r="AM174" s="13" t="n"/>
      <c r="AN174" s="13" t="n"/>
      <c r="AO174" s="13" t="n"/>
      <c r="AP174" s="13" t="n"/>
      <c r="AQ174" s="13" t="n"/>
      <c r="AR174" s="13" t="n"/>
      <c r="AS174" s="13" t="n"/>
      <c r="AT174" s="13" t="n"/>
      <c r="AU174" s="13" t="n"/>
      <c r="AV174" s="13" t="n"/>
      <c r="AW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  <c r="AF175" s="13" t="n"/>
      <c r="AG175" s="13" t="n"/>
      <c r="AH175" s="13" t="n"/>
      <c r="AI175" s="13" t="n"/>
      <c r="AJ175" s="13" t="n"/>
      <c r="AK175" s="13" t="n"/>
      <c r="AL175" s="13" t="n"/>
      <c r="AM175" s="13" t="n"/>
      <c r="AN175" s="13" t="n"/>
      <c r="AO175" s="13" t="n"/>
      <c r="AP175" s="13" t="n"/>
      <c r="AQ175" s="13" t="n"/>
      <c r="AR175" s="13" t="n"/>
      <c r="AS175" s="13" t="n"/>
      <c r="AT175" s="13" t="n"/>
      <c r="AU175" s="13" t="n"/>
      <c r="AV175" s="13" t="n"/>
      <c r="AW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  <c r="AL176" s="13" t="n"/>
      <c r="AM176" s="13" t="n"/>
      <c r="AN176" s="13" t="n"/>
      <c r="AO176" s="13" t="n"/>
      <c r="AP176" s="13" t="n"/>
      <c r="AQ176" s="13" t="n"/>
      <c r="AR176" s="13" t="n"/>
      <c r="AS176" s="13" t="n"/>
      <c r="AT176" s="13" t="n"/>
      <c r="AU176" s="13" t="n"/>
      <c r="AV176" s="13" t="n"/>
      <c r="AW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  <c r="AL177" s="13" t="n"/>
      <c r="AM177" s="13" t="n"/>
      <c r="AN177" s="13" t="n"/>
      <c r="AO177" s="13" t="n"/>
      <c r="AP177" s="13" t="n"/>
      <c r="AQ177" s="13" t="n"/>
      <c r="AR177" s="13" t="n"/>
      <c r="AS177" s="13" t="n"/>
      <c r="AT177" s="13" t="n"/>
      <c r="AU177" s="13" t="n"/>
      <c r="AV177" s="13" t="n"/>
      <c r="AW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  <c r="AL178" s="13" t="n"/>
      <c r="AM178" s="13" t="n"/>
      <c r="AN178" s="13" t="n"/>
      <c r="AO178" s="13" t="n"/>
      <c r="AP178" s="13" t="n"/>
      <c r="AQ178" s="13" t="n"/>
      <c r="AR178" s="13" t="n"/>
      <c r="AS178" s="13" t="n"/>
      <c r="AT178" s="13" t="n"/>
      <c r="AU178" s="13" t="n"/>
      <c r="AV178" s="13" t="n"/>
      <c r="AW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  <c r="AF179" s="13" t="n"/>
      <c r="AG179" s="13" t="n"/>
      <c r="AH179" s="13" t="n"/>
      <c r="AI179" s="13" t="n"/>
      <c r="AJ179" s="13" t="n"/>
      <c r="AK179" s="13" t="n"/>
      <c r="AL179" s="13" t="n"/>
      <c r="AM179" s="13" t="n"/>
      <c r="AN179" s="13" t="n"/>
      <c r="AO179" s="13" t="n"/>
      <c r="AP179" s="13" t="n"/>
      <c r="AQ179" s="13" t="n"/>
      <c r="AR179" s="13" t="n"/>
      <c r="AS179" s="13" t="n"/>
      <c r="AT179" s="13" t="n"/>
      <c r="AU179" s="13" t="n"/>
      <c r="AV179" s="13" t="n"/>
      <c r="AW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  <c r="AF180" s="13" t="n"/>
      <c r="AG180" s="13" t="n"/>
      <c r="AH180" s="13" t="n"/>
      <c r="AI180" s="13" t="n"/>
      <c r="AJ180" s="13" t="n"/>
      <c r="AK180" s="13" t="n"/>
      <c r="AL180" s="13" t="n"/>
      <c r="AM180" s="13" t="n"/>
      <c r="AN180" s="13" t="n"/>
      <c r="AO180" s="13" t="n"/>
      <c r="AP180" s="13" t="n"/>
      <c r="AQ180" s="13" t="n"/>
      <c r="AR180" s="13" t="n"/>
      <c r="AS180" s="13" t="n"/>
      <c r="AT180" s="13" t="n"/>
      <c r="AU180" s="13" t="n"/>
      <c r="AV180" s="13" t="n"/>
      <c r="AW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  <c r="AL181" s="13" t="n"/>
      <c r="AM181" s="13" t="n"/>
      <c r="AN181" s="13" t="n"/>
      <c r="AO181" s="13" t="n"/>
      <c r="AP181" s="13" t="n"/>
      <c r="AQ181" s="13" t="n"/>
      <c r="AR181" s="13" t="n"/>
      <c r="AS181" s="13" t="n"/>
      <c r="AT181" s="13" t="n"/>
      <c r="AU181" s="13" t="n"/>
      <c r="AV181" s="13" t="n"/>
      <c r="AW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  <c r="AF182" s="13" t="n"/>
      <c r="AG182" s="13" t="n"/>
      <c r="AH182" s="13" t="n"/>
      <c r="AI182" s="13" t="n"/>
      <c r="AJ182" s="13" t="n"/>
      <c r="AK182" s="13" t="n"/>
      <c r="AL182" s="13" t="n"/>
      <c r="AM182" s="13" t="n"/>
      <c r="AN182" s="13" t="n"/>
      <c r="AO182" s="13" t="n"/>
      <c r="AP182" s="13" t="n"/>
      <c r="AQ182" s="13" t="n"/>
      <c r="AR182" s="13" t="n"/>
      <c r="AS182" s="13" t="n"/>
      <c r="AT182" s="13" t="n"/>
      <c r="AU182" s="13" t="n"/>
      <c r="AV182" s="13" t="n"/>
      <c r="AW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13" t="n"/>
      <c r="AK183" s="13" t="n"/>
      <c r="AL183" s="13" t="n"/>
      <c r="AM183" s="13" t="n"/>
      <c r="AN183" s="13" t="n"/>
      <c r="AO183" s="13" t="n"/>
      <c r="AP183" s="13" t="n"/>
      <c r="AQ183" s="13" t="n"/>
      <c r="AR183" s="13" t="n"/>
      <c r="AS183" s="13" t="n"/>
      <c r="AT183" s="13" t="n"/>
      <c r="AU183" s="13" t="n"/>
      <c r="AV183" s="13" t="n"/>
      <c r="AW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  <c r="AF184" s="13" t="n"/>
      <c r="AG184" s="13" t="n"/>
      <c r="AH184" s="13" t="n"/>
      <c r="AI184" s="13" t="n"/>
      <c r="AJ184" s="13" t="n"/>
      <c r="AK184" s="13" t="n"/>
      <c r="AL184" s="13" t="n"/>
      <c r="AM184" s="13" t="n"/>
      <c r="AN184" s="13" t="n"/>
      <c r="AO184" s="13" t="n"/>
      <c r="AP184" s="13" t="n"/>
      <c r="AQ184" s="13" t="n"/>
      <c r="AR184" s="13" t="n"/>
      <c r="AS184" s="13" t="n"/>
      <c r="AT184" s="13" t="n"/>
      <c r="AU184" s="13" t="n"/>
      <c r="AV184" s="13" t="n"/>
      <c r="AW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  <c r="AF185" s="13" t="n"/>
      <c r="AG185" s="13" t="n"/>
      <c r="AH185" s="13" t="n"/>
      <c r="AI185" s="13" t="n"/>
      <c r="AJ185" s="13" t="n"/>
      <c r="AK185" s="13" t="n"/>
      <c r="AL185" s="13" t="n"/>
      <c r="AM185" s="13" t="n"/>
      <c r="AN185" s="13" t="n"/>
      <c r="AO185" s="13" t="n"/>
      <c r="AP185" s="13" t="n"/>
      <c r="AQ185" s="13" t="n"/>
      <c r="AR185" s="13" t="n"/>
      <c r="AS185" s="13" t="n"/>
      <c r="AT185" s="13" t="n"/>
      <c r="AU185" s="13" t="n"/>
      <c r="AV185" s="13" t="n"/>
      <c r="AW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  <c r="AF186" s="13" t="n"/>
      <c r="AG186" s="13" t="n"/>
      <c r="AH186" s="13" t="n"/>
      <c r="AI186" s="13" t="n"/>
      <c r="AJ186" s="13" t="n"/>
      <c r="AK186" s="13" t="n"/>
      <c r="AL186" s="13" t="n"/>
      <c r="AM186" s="13" t="n"/>
      <c r="AN186" s="13" t="n"/>
      <c r="AO186" s="13" t="n"/>
      <c r="AP186" s="13" t="n"/>
      <c r="AQ186" s="13" t="n"/>
      <c r="AR186" s="13" t="n"/>
      <c r="AS186" s="13" t="n"/>
      <c r="AT186" s="13" t="n"/>
      <c r="AU186" s="13" t="n"/>
      <c r="AV186" s="13" t="n"/>
      <c r="AW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  <c r="AL187" s="13" t="n"/>
      <c r="AM187" s="13" t="n"/>
      <c r="AN187" s="13" t="n"/>
      <c r="AO187" s="13" t="n"/>
      <c r="AP187" s="13" t="n"/>
      <c r="AQ187" s="13" t="n"/>
      <c r="AR187" s="13" t="n"/>
      <c r="AS187" s="13" t="n"/>
      <c r="AT187" s="13" t="n"/>
      <c r="AU187" s="13" t="n"/>
      <c r="AV187" s="13" t="n"/>
      <c r="AW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  <c r="AL188" s="13" t="n"/>
      <c r="AM188" s="13" t="n"/>
      <c r="AN188" s="13" t="n"/>
      <c r="AO188" s="13" t="n"/>
      <c r="AP188" s="13" t="n"/>
      <c r="AQ188" s="13" t="n"/>
      <c r="AR188" s="13" t="n"/>
      <c r="AS188" s="13" t="n"/>
      <c r="AT188" s="13" t="n"/>
      <c r="AU188" s="13" t="n"/>
      <c r="AV188" s="13" t="n"/>
      <c r="AW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  <c r="AF189" s="13" t="n"/>
      <c r="AG189" s="13" t="n"/>
      <c r="AH189" s="13" t="n"/>
      <c r="AI189" s="13" t="n"/>
      <c r="AJ189" s="13" t="n"/>
      <c r="AK189" s="13" t="n"/>
      <c r="AL189" s="13" t="n"/>
      <c r="AM189" s="13" t="n"/>
      <c r="AN189" s="13" t="n"/>
      <c r="AO189" s="13" t="n"/>
      <c r="AP189" s="13" t="n"/>
      <c r="AQ189" s="13" t="n"/>
      <c r="AR189" s="13" t="n"/>
      <c r="AS189" s="13" t="n"/>
      <c r="AT189" s="13" t="n"/>
      <c r="AU189" s="13" t="n"/>
      <c r="AV189" s="13" t="n"/>
      <c r="AW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  <c r="AF190" s="13" t="n"/>
      <c r="AG190" s="13" t="n"/>
      <c r="AH190" s="13" t="n"/>
      <c r="AI190" s="13" t="n"/>
      <c r="AJ190" s="13" t="n"/>
      <c r="AK190" s="13" t="n"/>
      <c r="AL190" s="13" t="n"/>
      <c r="AM190" s="13" t="n"/>
      <c r="AN190" s="13" t="n"/>
      <c r="AO190" s="13" t="n"/>
      <c r="AP190" s="13" t="n"/>
      <c r="AQ190" s="13" t="n"/>
      <c r="AR190" s="13" t="n"/>
      <c r="AS190" s="13" t="n"/>
      <c r="AT190" s="13" t="n"/>
      <c r="AU190" s="13" t="n"/>
      <c r="AV190" s="13" t="n"/>
      <c r="AW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  <c r="AL191" s="13" t="n"/>
      <c r="AM191" s="13" t="n"/>
      <c r="AN191" s="13" t="n"/>
      <c r="AO191" s="13" t="n"/>
      <c r="AP191" s="13" t="n"/>
      <c r="AQ191" s="13" t="n"/>
      <c r="AR191" s="13" t="n"/>
      <c r="AS191" s="13" t="n"/>
      <c r="AT191" s="13" t="n"/>
      <c r="AU191" s="13" t="n"/>
      <c r="AV191" s="13" t="n"/>
      <c r="AW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  <c r="AF192" s="13" t="n"/>
      <c r="AG192" s="13" t="n"/>
      <c r="AH192" s="13" t="n"/>
      <c r="AI192" s="13" t="n"/>
      <c r="AJ192" s="13" t="n"/>
      <c r="AK192" s="13" t="n"/>
      <c r="AL192" s="13" t="n"/>
      <c r="AM192" s="13" t="n"/>
      <c r="AN192" s="13" t="n"/>
      <c r="AO192" s="13" t="n"/>
      <c r="AP192" s="13" t="n"/>
      <c r="AQ192" s="13" t="n"/>
      <c r="AR192" s="13" t="n"/>
      <c r="AS192" s="13" t="n"/>
      <c r="AT192" s="13" t="n"/>
      <c r="AU192" s="13" t="n"/>
      <c r="AV192" s="13" t="n"/>
      <c r="AW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  <c r="AF193" s="13" t="n"/>
      <c r="AG193" s="13" t="n"/>
      <c r="AH193" s="13" t="n"/>
      <c r="AI193" s="13" t="n"/>
      <c r="AJ193" s="13" t="n"/>
      <c r="AK193" s="13" t="n"/>
      <c r="AL193" s="13" t="n"/>
      <c r="AM193" s="13" t="n"/>
      <c r="AN193" s="13" t="n"/>
      <c r="AO193" s="13" t="n"/>
      <c r="AP193" s="13" t="n"/>
      <c r="AQ193" s="13" t="n"/>
      <c r="AR193" s="13" t="n"/>
      <c r="AS193" s="13" t="n"/>
      <c r="AT193" s="13" t="n"/>
      <c r="AU193" s="13" t="n"/>
      <c r="AV193" s="13" t="n"/>
      <c r="AW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  <c r="AL194" s="13" t="n"/>
      <c r="AM194" s="13" t="n"/>
      <c r="AN194" s="13" t="n"/>
      <c r="AO194" s="13" t="n"/>
      <c r="AP194" s="13" t="n"/>
      <c r="AQ194" s="13" t="n"/>
      <c r="AR194" s="13" t="n"/>
      <c r="AS194" s="13" t="n"/>
      <c r="AT194" s="13" t="n"/>
      <c r="AU194" s="13" t="n"/>
      <c r="AV194" s="13" t="n"/>
      <c r="AW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  <c r="AL195" s="13" t="n"/>
      <c r="AM195" s="13" t="n"/>
      <c r="AN195" s="13" t="n"/>
      <c r="AO195" s="13" t="n"/>
      <c r="AP195" s="13" t="n"/>
      <c r="AQ195" s="13" t="n"/>
      <c r="AR195" s="13" t="n"/>
      <c r="AS195" s="13" t="n"/>
      <c r="AT195" s="13" t="n"/>
      <c r="AU195" s="13" t="n"/>
      <c r="AV195" s="13" t="n"/>
      <c r="AW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  <c r="AF196" s="13" t="n"/>
      <c r="AG196" s="13" t="n"/>
      <c r="AH196" s="13" t="n"/>
      <c r="AI196" s="13" t="n"/>
      <c r="AJ196" s="13" t="n"/>
      <c r="AK196" s="13" t="n"/>
      <c r="AL196" s="13" t="n"/>
      <c r="AM196" s="13" t="n"/>
      <c r="AN196" s="13" t="n"/>
      <c r="AO196" s="13" t="n"/>
      <c r="AP196" s="13" t="n"/>
      <c r="AQ196" s="13" t="n"/>
      <c r="AR196" s="13" t="n"/>
      <c r="AS196" s="13" t="n"/>
      <c r="AT196" s="13" t="n"/>
      <c r="AU196" s="13" t="n"/>
      <c r="AV196" s="13" t="n"/>
      <c r="AW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  <c r="AF197" s="13" t="n"/>
      <c r="AG197" s="13" t="n"/>
      <c r="AH197" s="13" t="n"/>
      <c r="AI197" s="13" t="n"/>
      <c r="AJ197" s="13" t="n"/>
      <c r="AK197" s="13" t="n"/>
      <c r="AL197" s="13" t="n"/>
      <c r="AM197" s="13" t="n"/>
      <c r="AN197" s="13" t="n"/>
      <c r="AO197" s="13" t="n"/>
      <c r="AP197" s="13" t="n"/>
      <c r="AQ197" s="13" t="n"/>
      <c r="AR197" s="13" t="n"/>
      <c r="AS197" s="13" t="n"/>
      <c r="AT197" s="13" t="n"/>
      <c r="AU197" s="13" t="n"/>
      <c r="AV197" s="13" t="n"/>
      <c r="AW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  <c r="AL198" s="13" t="n"/>
      <c r="AM198" s="13" t="n"/>
      <c r="AN198" s="13" t="n"/>
      <c r="AO198" s="13" t="n"/>
      <c r="AP198" s="13" t="n"/>
      <c r="AQ198" s="13" t="n"/>
      <c r="AR198" s="13" t="n"/>
      <c r="AS198" s="13" t="n"/>
      <c r="AT198" s="13" t="n"/>
      <c r="AU198" s="13" t="n"/>
      <c r="AV198" s="13" t="n"/>
      <c r="AW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  <c r="AL199" s="13" t="n"/>
      <c r="AM199" s="13" t="n"/>
      <c r="AN199" s="13" t="n"/>
      <c r="AO199" s="13" t="n"/>
      <c r="AP199" s="13" t="n"/>
      <c r="AQ199" s="13" t="n"/>
      <c r="AR199" s="13" t="n"/>
      <c r="AS199" s="13" t="n"/>
      <c r="AT199" s="13" t="n"/>
      <c r="AU199" s="13" t="n"/>
      <c r="AV199" s="13" t="n"/>
      <c r="AW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  <c r="AF200" s="13" t="n"/>
      <c r="AG200" s="13" t="n"/>
      <c r="AH200" s="13" t="n"/>
      <c r="AI200" s="13" t="n"/>
      <c r="AJ200" s="13" t="n"/>
      <c r="AK200" s="13" t="n"/>
      <c r="AL200" s="13" t="n"/>
      <c r="AM200" s="13" t="n"/>
      <c r="AN200" s="13" t="n"/>
      <c r="AO200" s="13" t="n"/>
      <c r="AP200" s="13" t="n"/>
      <c r="AQ200" s="13" t="n"/>
      <c r="AR200" s="13" t="n"/>
      <c r="AS200" s="13" t="n"/>
      <c r="AT200" s="13" t="n"/>
      <c r="AU200" s="13" t="n"/>
      <c r="AV200" s="13" t="n"/>
      <c r="AW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  <c r="AL201" s="13" t="n"/>
      <c r="AM201" s="13" t="n"/>
      <c r="AN201" s="13" t="n"/>
      <c r="AO201" s="13" t="n"/>
      <c r="AP201" s="13" t="n"/>
      <c r="AQ201" s="13" t="n"/>
      <c r="AR201" s="13" t="n"/>
      <c r="AS201" s="13" t="n"/>
      <c r="AT201" s="13" t="n"/>
      <c r="AU201" s="13" t="n"/>
      <c r="AV201" s="13" t="n"/>
      <c r="AW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  <c r="AF202" s="13" t="n"/>
      <c r="AG202" s="13" t="n"/>
      <c r="AH202" s="13" t="n"/>
      <c r="AI202" s="13" t="n"/>
      <c r="AJ202" s="13" t="n"/>
      <c r="AK202" s="13" t="n"/>
      <c r="AL202" s="13" t="n"/>
      <c r="AM202" s="13" t="n"/>
      <c r="AN202" s="13" t="n"/>
      <c r="AO202" s="13" t="n"/>
      <c r="AP202" s="13" t="n"/>
      <c r="AQ202" s="13" t="n"/>
      <c r="AR202" s="13" t="n"/>
      <c r="AS202" s="13" t="n"/>
      <c r="AT202" s="13" t="n"/>
      <c r="AU202" s="13" t="n"/>
      <c r="AV202" s="13" t="n"/>
      <c r="AW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  <c r="AL203" s="13" t="n"/>
      <c r="AM203" s="13" t="n"/>
      <c r="AN203" s="13" t="n"/>
      <c r="AO203" s="13" t="n"/>
      <c r="AP203" s="13" t="n"/>
      <c r="AQ203" s="13" t="n"/>
      <c r="AR203" s="13" t="n"/>
      <c r="AS203" s="13" t="n"/>
      <c r="AT203" s="13" t="n"/>
      <c r="AU203" s="13" t="n"/>
      <c r="AV203" s="13" t="n"/>
      <c r="AW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  <c r="AF204" s="13" t="n"/>
      <c r="AG204" s="13" t="n"/>
      <c r="AH204" s="13" t="n"/>
      <c r="AI204" s="13" t="n"/>
      <c r="AJ204" s="13" t="n"/>
      <c r="AK204" s="13" t="n"/>
      <c r="AL204" s="13" t="n"/>
      <c r="AM204" s="13" t="n"/>
      <c r="AN204" s="13" t="n"/>
      <c r="AO204" s="13" t="n"/>
      <c r="AP204" s="13" t="n"/>
      <c r="AQ204" s="13" t="n"/>
      <c r="AR204" s="13" t="n"/>
      <c r="AS204" s="13" t="n"/>
      <c r="AT204" s="13" t="n"/>
      <c r="AU204" s="13" t="n"/>
      <c r="AV204" s="13" t="n"/>
      <c r="AW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  <c r="AF205" s="13" t="n"/>
      <c r="AG205" s="13" t="n"/>
      <c r="AH205" s="13" t="n"/>
      <c r="AI205" s="13" t="n"/>
      <c r="AJ205" s="13" t="n"/>
      <c r="AK205" s="13" t="n"/>
      <c r="AL205" s="13" t="n"/>
      <c r="AM205" s="13" t="n"/>
      <c r="AN205" s="13" t="n"/>
      <c r="AO205" s="13" t="n"/>
      <c r="AP205" s="13" t="n"/>
      <c r="AQ205" s="13" t="n"/>
      <c r="AR205" s="13" t="n"/>
      <c r="AS205" s="13" t="n"/>
      <c r="AT205" s="13" t="n"/>
      <c r="AU205" s="13" t="n"/>
      <c r="AV205" s="13" t="n"/>
      <c r="AW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  <c r="AF206" s="13" t="n"/>
      <c r="AG206" s="13" t="n"/>
      <c r="AH206" s="13" t="n"/>
      <c r="AI206" s="13" t="n"/>
      <c r="AJ206" s="13" t="n"/>
      <c r="AK206" s="13" t="n"/>
      <c r="AL206" s="13" t="n"/>
      <c r="AM206" s="13" t="n"/>
      <c r="AN206" s="13" t="n"/>
      <c r="AO206" s="13" t="n"/>
      <c r="AP206" s="13" t="n"/>
      <c r="AQ206" s="13" t="n"/>
      <c r="AR206" s="13" t="n"/>
      <c r="AS206" s="13" t="n"/>
      <c r="AT206" s="13" t="n"/>
      <c r="AU206" s="13" t="n"/>
      <c r="AV206" s="13" t="n"/>
      <c r="AW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  <c r="AL207" s="13" t="n"/>
      <c r="AM207" s="13" t="n"/>
      <c r="AN207" s="13" t="n"/>
      <c r="AO207" s="13" t="n"/>
      <c r="AP207" s="13" t="n"/>
      <c r="AQ207" s="13" t="n"/>
      <c r="AR207" s="13" t="n"/>
      <c r="AS207" s="13" t="n"/>
      <c r="AT207" s="13" t="n"/>
      <c r="AU207" s="13" t="n"/>
      <c r="AV207" s="13" t="n"/>
      <c r="AW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  <c r="AF208" s="13" t="n"/>
      <c r="AG208" s="13" t="n"/>
      <c r="AH208" s="13" t="n"/>
      <c r="AI208" s="13" t="n"/>
      <c r="AJ208" s="13" t="n"/>
      <c r="AK208" s="13" t="n"/>
      <c r="AL208" s="13" t="n"/>
      <c r="AM208" s="13" t="n"/>
      <c r="AN208" s="13" t="n"/>
      <c r="AO208" s="13" t="n"/>
      <c r="AP208" s="13" t="n"/>
      <c r="AQ208" s="13" t="n"/>
      <c r="AR208" s="13" t="n"/>
      <c r="AS208" s="13" t="n"/>
      <c r="AT208" s="13" t="n"/>
      <c r="AU208" s="13" t="n"/>
      <c r="AV208" s="13" t="n"/>
      <c r="AW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  <c r="AF209" s="13" t="n"/>
      <c r="AG209" s="13" t="n"/>
      <c r="AH209" s="13" t="n"/>
      <c r="AI209" s="13" t="n"/>
      <c r="AJ209" s="13" t="n"/>
      <c r="AK209" s="13" t="n"/>
      <c r="AL209" s="13" t="n"/>
      <c r="AM209" s="13" t="n"/>
      <c r="AN209" s="13" t="n"/>
      <c r="AO209" s="13" t="n"/>
      <c r="AP209" s="13" t="n"/>
      <c r="AQ209" s="13" t="n"/>
      <c r="AR209" s="13" t="n"/>
      <c r="AS209" s="13" t="n"/>
      <c r="AT209" s="13" t="n"/>
      <c r="AU209" s="13" t="n"/>
      <c r="AV209" s="13" t="n"/>
      <c r="AW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  <c r="AF210" s="13" t="n"/>
      <c r="AG210" s="13" t="n"/>
      <c r="AH210" s="13" t="n"/>
      <c r="AI210" s="13" t="n"/>
      <c r="AJ210" s="13" t="n"/>
      <c r="AK210" s="13" t="n"/>
      <c r="AL210" s="13" t="n"/>
      <c r="AM210" s="13" t="n"/>
      <c r="AN210" s="13" t="n"/>
      <c r="AO210" s="13" t="n"/>
      <c r="AP210" s="13" t="n"/>
      <c r="AQ210" s="13" t="n"/>
      <c r="AR210" s="13" t="n"/>
      <c r="AS210" s="13" t="n"/>
      <c r="AT210" s="13" t="n"/>
      <c r="AU210" s="13" t="n"/>
      <c r="AV210" s="13" t="n"/>
      <c r="AW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  <c r="AL211" s="13" t="n"/>
      <c r="AM211" s="13" t="n"/>
      <c r="AN211" s="13" t="n"/>
      <c r="AO211" s="13" t="n"/>
      <c r="AP211" s="13" t="n"/>
      <c r="AQ211" s="13" t="n"/>
      <c r="AR211" s="13" t="n"/>
      <c r="AS211" s="13" t="n"/>
      <c r="AT211" s="13" t="n"/>
      <c r="AU211" s="13" t="n"/>
      <c r="AV211" s="13" t="n"/>
      <c r="AW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  <c r="AF212" s="13" t="n"/>
      <c r="AG212" s="13" t="n"/>
      <c r="AH212" s="13" t="n"/>
      <c r="AI212" s="13" t="n"/>
      <c r="AJ212" s="13" t="n"/>
      <c r="AK212" s="13" t="n"/>
      <c r="AL212" s="13" t="n"/>
      <c r="AM212" s="13" t="n"/>
      <c r="AN212" s="13" t="n"/>
      <c r="AO212" s="13" t="n"/>
      <c r="AP212" s="13" t="n"/>
      <c r="AQ212" s="13" t="n"/>
      <c r="AR212" s="13" t="n"/>
      <c r="AS212" s="13" t="n"/>
      <c r="AT212" s="13" t="n"/>
      <c r="AU212" s="13" t="n"/>
      <c r="AV212" s="13" t="n"/>
      <c r="AW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  <c r="AF213" s="13" t="n"/>
      <c r="AG213" s="13" t="n"/>
      <c r="AH213" s="13" t="n"/>
      <c r="AI213" s="13" t="n"/>
      <c r="AJ213" s="13" t="n"/>
      <c r="AK213" s="13" t="n"/>
      <c r="AL213" s="13" t="n"/>
      <c r="AM213" s="13" t="n"/>
      <c r="AN213" s="13" t="n"/>
      <c r="AO213" s="13" t="n"/>
      <c r="AP213" s="13" t="n"/>
      <c r="AQ213" s="13" t="n"/>
      <c r="AR213" s="13" t="n"/>
      <c r="AS213" s="13" t="n"/>
      <c r="AT213" s="13" t="n"/>
      <c r="AU213" s="13" t="n"/>
      <c r="AV213" s="13" t="n"/>
      <c r="AW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  <c r="AF214" s="13" t="n"/>
      <c r="AG214" s="13" t="n"/>
      <c r="AH214" s="13" t="n"/>
      <c r="AI214" s="13" t="n"/>
      <c r="AJ214" s="13" t="n"/>
      <c r="AK214" s="13" t="n"/>
      <c r="AL214" s="13" t="n"/>
      <c r="AM214" s="13" t="n"/>
      <c r="AN214" s="13" t="n"/>
      <c r="AO214" s="13" t="n"/>
      <c r="AP214" s="13" t="n"/>
      <c r="AQ214" s="13" t="n"/>
      <c r="AR214" s="13" t="n"/>
      <c r="AS214" s="13" t="n"/>
      <c r="AT214" s="13" t="n"/>
      <c r="AU214" s="13" t="n"/>
      <c r="AV214" s="13" t="n"/>
      <c r="AW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  <c r="AL215" s="13" t="n"/>
      <c r="AM215" s="13" t="n"/>
      <c r="AN215" s="13" t="n"/>
      <c r="AO215" s="13" t="n"/>
      <c r="AP215" s="13" t="n"/>
      <c r="AQ215" s="13" t="n"/>
      <c r="AR215" s="13" t="n"/>
      <c r="AS215" s="13" t="n"/>
      <c r="AT215" s="13" t="n"/>
      <c r="AU215" s="13" t="n"/>
      <c r="AV215" s="13" t="n"/>
      <c r="AW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  <c r="AF216" s="13" t="n"/>
      <c r="AG216" s="13" t="n"/>
      <c r="AH216" s="13" t="n"/>
      <c r="AI216" s="13" t="n"/>
      <c r="AJ216" s="13" t="n"/>
      <c r="AK216" s="13" t="n"/>
      <c r="AL216" s="13" t="n"/>
      <c r="AM216" s="13" t="n"/>
      <c r="AN216" s="13" t="n"/>
      <c r="AO216" s="13" t="n"/>
      <c r="AP216" s="13" t="n"/>
      <c r="AQ216" s="13" t="n"/>
      <c r="AR216" s="13" t="n"/>
      <c r="AS216" s="13" t="n"/>
      <c r="AT216" s="13" t="n"/>
      <c r="AU216" s="13" t="n"/>
      <c r="AV216" s="13" t="n"/>
      <c r="AW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  <c r="AF217" s="13" t="n"/>
      <c r="AG217" s="13" t="n"/>
      <c r="AH217" s="13" t="n"/>
      <c r="AI217" s="13" t="n"/>
      <c r="AJ217" s="13" t="n"/>
      <c r="AK217" s="13" t="n"/>
      <c r="AL217" s="13" t="n"/>
      <c r="AM217" s="13" t="n"/>
      <c r="AN217" s="13" t="n"/>
      <c r="AO217" s="13" t="n"/>
      <c r="AP217" s="13" t="n"/>
      <c r="AQ217" s="13" t="n"/>
      <c r="AR217" s="13" t="n"/>
      <c r="AS217" s="13" t="n"/>
      <c r="AT217" s="13" t="n"/>
      <c r="AU217" s="13" t="n"/>
      <c r="AV217" s="13" t="n"/>
      <c r="AW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  <c r="AF218" s="13" t="n"/>
      <c r="AG218" s="13" t="n"/>
      <c r="AH218" s="13" t="n"/>
      <c r="AI218" s="13" t="n"/>
      <c r="AJ218" s="13" t="n"/>
      <c r="AK218" s="13" t="n"/>
      <c r="AL218" s="13" t="n"/>
      <c r="AM218" s="13" t="n"/>
      <c r="AN218" s="13" t="n"/>
      <c r="AO218" s="13" t="n"/>
      <c r="AP218" s="13" t="n"/>
      <c r="AQ218" s="13" t="n"/>
      <c r="AR218" s="13" t="n"/>
      <c r="AS218" s="13" t="n"/>
      <c r="AT218" s="13" t="n"/>
      <c r="AU218" s="13" t="n"/>
      <c r="AV218" s="13" t="n"/>
      <c r="AW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  <c r="AL219" s="13" t="n"/>
      <c r="AM219" s="13" t="n"/>
      <c r="AN219" s="13" t="n"/>
      <c r="AO219" s="13" t="n"/>
      <c r="AP219" s="13" t="n"/>
      <c r="AQ219" s="13" t="n"/>
      <c r="AR219" s="13" t="n"/>
      <c r="AS219" s="13" t="n"/>
      <c r="AT219" s="13" t="n"/>
      <c r="AU219" s="13" t="n"/>
      <c r="AV219" s="13" t="n"/>
      <c r="AW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  <c r="AF220" s="13" t="n"/>
      <c r="AG220" s="13" t="n"/>
      <c r="AH220" s="13" t="n"/>
      <c r="AI220" s="13" t="n"/>
      <c r="AJ220" s="13" t="n"/>
      <c r="AK220" s="13" t="n"/>
      <c r="AL220" s="13" t="n"/>
      <c r="AM220" s="13" t="n"/>
      <c r="AN220" s="13" t="n"/>
      <c r="AO220" s="13" t="n"/>
      <c r="AP220" s="13" t="n"/>
      <c r="AQ220" s="13" t="n"/>
      <c r="AR220" s="13" t="n"/>
      <c r="AS220" s="13" t="n"/>
      <c r="AT220" s="13" t="n"/>
      <c r="AU220" s="13" t="n"/>
      <c r="AV220" s="13" t="n"/>
      <c r="AW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  <c r="AF221" s="13" t="n"/>
      <c r="AG221" s="13" t="n"/>
      <c r="AH221" s="13" t="n"/>
      <c r="AI221" s="13" t="n"/>
      <c r="AJ221" s="13" t="n"/>
      <c r="AK221" s="13" t="n"/>
      <c r="AL221" s="13" t="n"/>
      <c r="AM221" s="13" t="n"/>
      <c r="AN221" s="13" t="n"/>
      <c r="AO221" s="13" t="n"/>
      <c r="AP221" s="13" t="n"/>
      <c r="AQ221" s="13" t="n"/>
      <c r="AR221" s="13" t="n"/>
      <c r="AS221" s="13" t="n"/>
      <c r="AT221" s="13" t="n"/>
      <c r="AU221" s="13" t="n"/>
      <c r="AV221" s="13" t="n"/>
      <c r="AW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  <c r="AF222" s="13" t="n"/>
      <c r="AG222" s="13" t="n"/>
      <c r="AH222" s="13" t="n"/>
      <c r="AI222" s="13" t="n"/>
      <c r="AJ222" s="13" t="n"/>
      <c r="AK222" s="13" t="n"/>
      <c r="AL222" s="13" t="n"/>
      <c r="AM222" s="13" t="n"/>
      <c r="AN222" s="13" t="n"/>
      <c r="AO222" s="13" t="n"/>
      <c r="AP222" s="13" t="n"/>
      <c r="AQ222" s="13" t="n"/>
      <c r="AR222" s="13" t="n"/>
      <c r="AS222" s="13" t="n"/>
      <c r="AT222" s="13" t="n"/>
      <c r="AU222" s="13" t="n"/>
      <c r="AV222" s="13" t="n"/>
      <c r="AW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  <c r="AL223" s="13" t="n"/>
      <c r="AM223" s="13" t="n"/>
      <c r="AN223" s="13" t="n"/>
      <c r="AO223" s="13" t="n"/>
      <c r="AP223" s="13" t="n"/>
      <c r="AQ223" s="13" t="n"/>
      <c r="AR223" s="13" t="n"/>
      <c r="AS223" s="13" t="n"/>
      <c r="AT223" s="13" t="n"/>
      <c r="AU223" s="13" t="n"/>
      <c r="AV223" s="13" t="n"/>
      <c r="AW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  <c r="AL224" s="13" t="n"/>
      <c r="AM224" s="13" t="n"/>
      <c r="AN224" s="13" t="n"/>
      <c r="AO224" s="13" t="n"/>
      <c r="AP224" s="13" t="n"/>
      <c r="AQ224" s="13" t="n"/>
      <c r="AR224" s="13" t="n"/>
      <c r="AS224" s="13" t="n"/>
      <c r="AT224" s="13" t="n"/>
      <c r="AU224" s="13" t="n"/>
      <c r="AV224" s="13" t="n"/>
      <c r="AW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  <c r="AF225" s="13" t="n"/>
      <c r="AG225" s="13" t="n"/>
      <c r="AH225" s="13" t="n"/>
      <c r="AI225" s="13" t="n"/>
      <c r="AJ225" s="13" t="n"/>
      <c r="AK225" s="13" t="n"/>
      <c r="AL225" s="13" t="n"/>
      <c r="AM225" s="13" t="n"/>
      <c r="AN225" s="13" t="n"/>
      <c r="AO225" s="13" t="n"/>
      <c r="AP225" s="13" t="n"/>
      <c r="AQ225" s="13" t="n"/>
      <c r="AR225" s="13" t="n"/>
      <c r="AS225" s="13" t="n"/>
      <c r="AT225" s="13" t="n"/>
      <c r="AU225" s="13" t="n"/>
      <c r="AV225" s="13" t="n"/>
      <c r="AW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  <c r="AF226" s="13" t="n"/>
      <c r="AG226" s="13" t="n"/>
      <c r="AH226" s="13" t="n"/>
      <c r="AI226" s="13" t="n"/>
      <c r="AJ226" s="13" t="n"/>
      <c r="AK226" s="13" t="n"/>
      <c r="AL226" s="13" t="n"/>
      <c r="AM226" s="13" t="n"/>
      <c r="AN226" s="13" t="n"/>
      <c r="AO226" s="13" t="n"/>
      <c r="AP226" s="13" t="n"/>
      <c r="AQ226" s="13" t="n"/>
      <c r="AR226" s="13" t="n"/>
      <c r="AS226" s="13" t="n"/>
      <c r="AT226" s="13" t="n"/>
      <c r="AU226" s="13" t="n"/>
      <c r="AV226" s="13" t="n"/>
      <c r="AW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  <c r="AL227" s="13" t="n"/>
      <c r="AM227" s="13" t="n"/>
      <c r="AN227" s="13" t="n"/>
      <c r="AO227" s="13" t="n"/>
      <c r="AP227" s="13" t="n"/>
      <c r="AQ227" s="13" t="n"/>
      <c r="AR227" s="13" t="n"/>
      <c r="AS227" s="13" t="n"/>
      <c r="AT227" s="13" t="n"/>
      <c r="AU227" s="13" t="n"/>
      <c r="AV227" s="13" t="n"/>
      <c r="AW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  <c r="AF228" s="13" t="n"/>
      <c r="AG228" s="13" t="n"/>
      <c r="AH228" s="13" t="n"/>
      <c r="AI228" s="13" t="n"/>
      <c r="AJ228" s="13" t="n"/>
      <c r="AK228" s="13" t="n"/>
      <c r="AL228" s="13" t="n"/>
      <c r="AM228" s="13" t="n"/>
      <c r="AN228" s="13" t="n"/>
      <c r="AO228" s="13" t="n"/>
      <c r="AP228" s="13" t="n"/>
      <c r="AQ228" s="13" t="n"/>
      <c r="AR228" s="13" t="n"/>
      <c r="AS228" s="13" t="n"/>
      <c r="AT228" s="13" t="n"/>
      <c r="AU228" s="13" t="n"/>
      <c r="AV228" s="13" t="n"/>
      <c r="AW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J229" s="13" t="n"/>
      <c r="AK229" s="13" t="n"/>
      <c r="AL229" s="13" t="n"/>
      <c r="AM229" s="13" t="n"/>
      <c r="AN229" s="13" t="n"/>
      <c r="AO229" s="13" t="n"/>
      <c r="AP229" s="13" t="n"/>
      <c r="AQ229" s="13" t="n"/>
      <c r="AR229" s="13" t="n"/>
      <c r="AS229" s="13" t="n"/>
      <c r="AT229" s="13" t="n"/>
      <c r="AU229" s="13" t="n"/>
      <c r="AV229" s="13" t="n"/>
      <c r="AW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  <c r="AF230" s="13" t="n"/>
      <c r="AG230" s="13" t="n"/>
      <c r="AH230" s="13" t="n"/>
      <c r="AI230" s="13" t="n"/>
      <c r="AJ230" s="13" t="n"/>
      <c r="AK230" s="13" t="n"/>
      <c r="AL230" s="13" t="n"/>
      <c r="AM230" s="13" t="n"/>
      <c r="AN230" s="13" t="n"/>
      <c r="AO230" s="13" t="n"/>
      <c r="AP230" s="13" t="n"/>
      <c r="AQ230" s="13" t="n"/>
      <c r="AR230" s="13" t="n"/>
      <c r="AS230" s="13" t="n"/>
      <c r="AT230" s="13" t="n"/>
      <c r="AU230" s="13" t="n"/>
      <c r="AV230" s="13" t="n"/>
      <c r="AW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  <c r="AL231" s="13" t="n"/>
      <c r="AM231" s="13" t="n"/>
      <c r="AN231" s="13" t="n"/>
      <c r="AO231" s="13" t="n"/>
      <c r="AP231" s="13" t="n"/>
      <c r="AQ231" s="13" t="n"/>
      <c r="AR231" s="13" t="n"/>
      <c r="AS231" s="13" t="n"/>
      <c r="AT231" s="13" t="n"/>
      <c r="AU231" s="13" t="n"/>
      <c r="AV231" s="13" t="n"/>
      <c r="AW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  <c r="AL232" s="13" t="n"/>
      <c r="AM232" s="13" t="n"/>
      <c r="AN232" s="13" t="n"/>
      <c r="AO232" s="13" t="n"/>
      <c r="AP232" s="13" t="n"/>
      <c r="AQ232" s="13" t="n"/>
      <c r="AR232" s="13" t="n"/>
      <c r="AS232" s="13" t="n"/>
      <c r="AT232" s="13" t="n"/>
      <c r="AU232" s="13" t="n"/>
      <c r="AV232" s="13" t="n"/>
      <c r="AW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  <c r="AF233" s="13" t="n"/>
      <c r="AG233" s="13" t="n"/>
      <c r="AH233" s="13" t="n"/>
      <c r="AI233" s="13" t="n"/>
      <c r="AJ233" s="13" t="n"/>
      <c r="AK233" s="13" t="n"/>
      <c r="AL233" s="13" t="n"/>
      <c r="AM233" s="13" t="n"/>
      <c r="AN233" s="13" t="n"/>
      <c r="AO233" s="13" t="n"/>
      <c r="AP233" s="13" t="n"/>
      <c r="AQ233" s="13" t="n"/>
      <c r="AR233" s="13" t="n"/>
      <c r="AS233" s="13" t="n"/>
      <c r="AT233" s="13" t="n"/>
      <c r="AU233" s="13" t="n"/>
      <c r="AV233" s="13" t="n"/>
      <c r="AW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  <c r="AL234" s="13" t="n"/>
      <c r="AM234" s="13" t="n"/>
      <c r="AN234" s="13" t="n"/>
      <c r="AO234" s="13" t="n"/>
      <c r="AP234" s="13" t="n"/>
      <c r="AQ234" s="13" t="n"/>
      <c r="AR234" s="13" t="n"/>
      <c r="AS234" s="13" t="n"/>
      <c r="AT234" s="13" t="n"/>
      <c r="AU234" s="13" t="n"/>
      <c r="AV234" s="13" t="n"/>
      <c r="AW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  <c r="AL235" s="13" t="n"/>
      <c r="AM235" s="13" t="n"/>
      <c r="AN235" s="13" t="n"/>
      <c r="AO235" s="13" t="n"/>
      <c r="AP235" s="13" t="n"/>
      <c r="AQ235" s="13" t="n"/>
      <c r="AR235" s="13" t="n"/>
      <c r="AS235" s="13" t="n"/>
      <c r="AT235" s="13" t="n"/>
      <c r="AU235" s="13" t="n"/>
      <c r="AV235" s="13" t="n"/>
      <c r="AW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  <c r="AF236" s="13" t="n"/>
      <c r="AG236" s="13" t="n"/>
      <c r="AH236" s="13" t="n"/>
      <c r="AI236" s="13" t="n"/>
      <c r="AJ236" s="13" t="n"/>
      <c r="AK236" s="13" t="n"/>
      <c r="AL236" s="13" t="n"/>
      <c r="AM236" s="13" t="n"/>
      <c r="AN236" s="13" t="n"/>
      <c r="AO236" s="13" t="n"/>
      <c r="AP236" s="13" t="n"/>
      <c r="AQ236" s="13" t="n"/>
      <c r="AR236" s="13" t="n"/>
      <c r="AS236" s="13" t="n"/>
      <c r="AT236" s="13" t="n"/>
      <c r="AU236" s="13" t="n"/>
      <c r="AV236" s="13" t="n"/>
      <c r="AW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  <c r="AL237" s="13" t="n"/>
      <c r="AM237" s="13" t="n"/>
      <c r="AN237" s="13" t="n"/>
      <c r="AO237" s="13" t="n"/>
      <c r="AP237" s="13" t="n"/>
      <c r="AQ237" s="13" t="n"/>
      <c r="AR237" s="13" t="n"/>
      <c r="AS237" s="13" t="n"/>
      <c r="AT237" s="13" t="n"/>
      <c r="AU237" s="13" t="n"/>
      <c r="AV237" s="13" t="n"/>
      <c r="AW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  <c r="AF238" s="13" t="n"/>
      <c r="AG238" s="13" t="n"/>
      <c r="AH238" s="13" t="n"/>
      <c r="AI238" s="13" t="n"/>
      <c r="AJ238" s="13" t="n"/>
      <c r="AK238" s="13" t="n"/>
      <c r="AL238" s="13" t="n"/>
      <c r="AM238" s="13" t="n"/>
      <c r="AN238" s="13" t="n"/>
      <c r="AO238" s="13" t="n"/>
      <c r="AP238" s="13" t="n"/>
      <c r="AQ238" s="13" t="n"/>
      <c r="AR238" s="13" t="n"/>
      <c r="AS238" s="13" t="n"/>
      <c r="AT238" s="13" t="n"/>
      <c r="AU238" s="13" t="n"/>
      <c r="AV238" s="13" t="n"/>
      <c r="AW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  <c r="AF239" s="13" t="n"/>
      <c r="AG239" s="13" t="n"/>
      <c r="AH239" s="13" t="n"/>
      <c r="AI239" s="13" t="n"/>
      <c r="AJ239" s="13" t="n"/>
      <c r="AK239" s="13" t="n"/>
      <c r="AL239" s="13" t="n"/>
      <c r="AM239" s="13" t="n"/>
      <c r="AN239" s="13" t="n"/>
      <c r="AO239" s="13" t="n"/>
      <c r="AP239" s="13" t="n"/>
      <c r="AQ239" s="13" t="n"/>
      <c r="AR239" s="13" t="n"/>
      <c r="AS239" s="13" t="n"/>
      <c r="AT239" s="13" t="n"/>
      <c r="AU239" s="13" t="n"/>
      <c r="AV239" s="13" t="n"/>
      <c r="AW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  <c r="AF240" s="13" t="n"/>
      <c r="AG240" s="13" t="n"/>
      <c r="AH240" s="13" t="n"/>
      <c r="AI240" s="13" t="n"/>
      <c r="AJ240" s="13" t="n"/>
      <c r="AK240" s="13" t="n"/>
      <c r="AL240" s="13" t="n"/>
      <c r="AM240" s="13" t="n"/>
      <c r="AN240" s="13" t="n"/>
      <c r="AO240" s="13" t="n"/>
      <c r="AP240" s="13" t="n"/>
      <c r="AQ240" s="13" t="n"/>
      <c r="AR240" s="13" t="n"/>
      <c r="AS240" s="13" t="n"/>
      <c r="AT240" s="13" t="n"/>
      <c r="AU240" s="13" t="n"/>
      <c r="AV240" s="13" t="n"/>
      <c r="AW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  <c r="AL241" s="13" t="n"/>
      <c r="AM241" s="13" t="n"/>
      <c r="AN241" s="13" t="n"/>
      <c r="AO241" s="13" t="n"/>
      <c r="AP241" s="13" t="n"/>
      <c r="AQ241" s="13" t="n"/>
      <c r="AR241" s="13" t="n"/>
      <c r="AS241" s="13" t="n"/>
      <c r="AT241" s="13" t="n"/>
      <c r="AU241" s="13" t="n"/>
      <c r="AV241" s="13" t="n"/>
      <c r="AW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  <c r="AF242" s="13" t="n"/>
      <c r="AG242" s="13" t="n"/>
      <c r="AH242" s="13" t="n"/>
      <c r="AI242" s="13" t="n"/>
      <c r="AJ242" s="13" t="n"/>
      <c r="AK242" s="13" t="n"/>
      <c r="AL242" s="13" t="n"/>
      <c r="AM242" s="13" t="n"/>
      <c r="AN242" s="13" t="n"/>
      <c r="AO242" s="13" t="n"/>
      <c r="AP242" s="13" t="n"/>
      <c r="AQ242" s="13" t="n"/>
      <c r="AR242" s="13" t="n"/>
      <c r="AS242" s="13" t="n"/>
      <c r="AT242" s="13" t="n"/>
      <c r="AU242" s="13" t="n"/>
      <c r="AV242" s="13" t="n"/>
      <c r="AW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  <c r="AF243" s="13" t="n"/>
      <c r="AG243" s="13" t="n"/>
      <c r="AH243" s="13" t="n"/>
      <c r="AI243" s="13" t="n"/>
      <c r="AJ243" s="13" t="n"/>
      <c r="AK243" s="13" t="n"/>
      <c r="AL243" s="13" t="n"/>
      <c r="AM243" s="13" t="n"/>
      <c r="AN243" s="13" t="n"/>
      <c r="AO243" s="13" t="n"/>
      <c r="AP243" s="13" t="n"/>
      <c r="AQ243" s="13" t="n"/>
      <c r="AR243" s="13" t="n"/>
      <c r="AS243" s="13" t="n"/>
      <c r="AT243" s="13" t="n"/>
      <c r="AU243" s="13" t="n"/>
      <c r="AV243" s="13" t="n"/>
      <c r="AW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  <c r="AF244" s="13" t="n"/>
      <c r="AG244" s="13" t="n"/>
      <c r="AH244" s="13" t="n"/>
      <c r="AI244" s="13" t="n"/>
      <c r="AJ244" s="13" t="n"/>
      <c r="AK244" s="13" t="n"/>
      <c r="AL244" s="13" t="n"/>
      <c r="AM244" s="13" t="n"/>
      <c r="AN244" s="13" t="n"/>
      <c r="AO244" s="13" t="n"/>
      <c r="AP244" s="13" t="n"/>
      <c r="AQ244" s="13" t="n"/>
      <c r="AR244" s="13" t="n"/>
      <c r="AS244" s="13" t="n"/>
      <c r="AT244" s="13" t="n"/>
      <c r="AU244" s="13" t="n"/>
      <c r="AV244" s="13" t="n"/>
      <c r="AW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  <c r="AL245" s="13" t="n"/>
      <c r="AM245" s="13" t="n"/>
      <c r="AN245" s="13" t="n"/>
      <c r="AO245" s="13" t="n"/>
      <c r="AP245" s="13" t="n"/>
      <c r="AQ245" s="13" t="n"/>
      <c r="AR245" s="13" t="n"/>
      <c r="AS245" s="13" t="n"/>
      <c r="AT245" s="13" t="n"/>
      <c r="AU245" s="13" t="n"/>
      <c r="AV245" s="13" t="n"/>
      <c r="AW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  <c r="AL246" s="13" t="n"/>
      <c r="AM246" s="13" t="n"/>
      <c r="AN246" s="13" t="n"/>
      <c r="AO246" s="13" t="n"/>
      <c r="AP246" s="13" t="n"/>
      <c r="AQ246" s="13" t="n"/>
      <c r="AR246" s="13" t="n"/>
      <c r="AS246" s="13" t="n"/>
      <c r="AT246" s="13" t="n"/>
      <c r="AU246" s="13" t="n"/>
      <c r="AV246" s="13" t="n"/>
      <c r="AW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  <c r="AF247" s="13" t="n"/>
      <c r="AG247" s="13" t="n"/>
      <c r="AH247" s="13" t="n"/>
      <c r="AI247" s="13" t="n"/>
      <c r="AJ247" s="13" t="n"/>
      <c r="AK247" s="13" t="n"/>
      <c r="AL247" s="13" t="n"/>
      <c r="AM247" s="13" t="n"/>
      <c r="AN247" s="13" t="n"/>
      <c r="AO247" s="13" t="n"/>
      <c r="AP247" s="13" t="n"/>
      <c r="AQ247" s="13" t="n"/>
      <c r="AR247" s="13" t="n"/>
      <c r="AS247" s="13" t="n"/>
      <c r="AT247" s="13" t="n"/>
      <c r="AU247" s="13" t="n"/>
      <c r="AV247" s="13" t="n"/>
      <c r="AW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  <c r="AF248" s="13" t="n"/>
      <c r="AG248" s="13" t="n"/>
      <c r="AH248" s="13" t="n"/>
      <c r="AI248" s="13" t="n"/>
      <c r="AJ248" s="13" t="n"/>
      <c r="AK248" s="13" t="n"/>
      <c r="AL248" s="13" t="n"/>
      <c r="AM248" s="13" t="n"/>
      <c r="AN248" s="13" t="n"/>
      <c r="AO248" s="13" t="n"/>
      <c r="AP248" s="13" t="n"/>
      <c r="AQ248" s="13" t="n"/>
      <c r="AR248" s="13" t="n"/>
      <c r="AS248" s="13" t="n"/>
      <c r="AT248" s="13" t="n"/>
      <c r="AU248" s="13" t="n"/>
      <c r="AV248" s="13" t="n"/>
      <c r="AW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  <c r="AL249" s="13" t="n"/>
      <c r="AM249" s="13" t="n"/>
      <c r="AN249" s="13" t="n"/>
      <c r="AO249" s="13" t="n"/>
      <c r="AP249" s="13" t="n"/>
      <c r="AQ249" s="13" t="n"/>
      <c r="AR249" s="13" t="n"/>
      <c r="AS249" s="13" t="n"/>
      <c r="AT249" s="13" t="n"/>
      <c r="AU249" s="13" t="n"/>
      <c r="AV249" s="13" t="n"/>
      <c r="AW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  <c r="AF250" s="13" t="n"/>
      <c r="AG250" s="13" t="n"/>
      <c r="AH250" s="13" t="n"/>
      <c r="AI250" s="13" t="n"/>
      <c r="AJ250" s="13" t="n"/>
      <c r="AK250" s="13" t="n"/>
      <c r="AL250" s="13" t="n"/>
      <c r="AM250" s="13" t="n"/>
      <c r="AN250" s="13" t="n"/>
      <c r="AO250" s="13" t="n"/>
      <c r="AP250" s="13" t="n"/>
      <c r="AQ250" s="13" t="n"/>
      <c r="AR250" s="13" t="n"/>
      <c r="AS250" s="13" t="n"/>
      <c r="AT250" s="13" t="n"/>
      <c r="AU250" s="13" t="n"/>
      <c r="AV250" s="13" t="n"/>
      <c r="AW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  <c r="AL251" s="13" t="n"/>
      <c r="AM251" s="13" t="n"/>
      <c r="AN251" s="13" t="n"/>
      <c r="AO251" s="13" t="n"/>
      <c r="AP251" s="13" t="n"/>
      <c r="AQ251" s="13" t="n"/>
      <c r="AR251" s="13" t="n"/>
      <c r="AS251" s="13" t="n"/>
      <c r="AT251" s="13" t="n"/>
      <c r="AU251" s="13" t="n"/>
      <c r="AV251" s="13" t="n"/>
      <c r="AW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  <c r="AL252" s="13" t="n"/>
      <c r="AM252" s="13" t="n"/>
      <c r="AN252" s="13" t="n"/>
      <c r="AO252" s="13" t="n"/>
      <c r="AP252" s="13" t="n"/>
      <c r="AQ252" s="13" t="n"/>
      <c r="AR252" s="13" t="n"/>
      <c r="AS252" s="13" t="n"/>
      <c r="AT252" s="13" t="n"/>
      <c r="AU252" s="13" t="n"/>
      <c r="AV252" s="13" t="n"/>
      <c r="AW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  <c r="AL253" s="13" t="n"/>
      <c r="AM253" s="13" t="n"/>
      <c r="AN253" s="13" t="n"/>
      <c r="AO253" s="13" t="n"/>
      <c r="AP253" s="13" t="n"/>
      <c r="AQ253" s="13" t="n"/>
      <c r="AR253" s="13" t="n"/>
      <c r="AS253" s="13" t="n"/>
      <c r="AT253" s="13" t="n"/>
      <c r="AU253" s="13" t="n"/>
      <c r="AV253" s="13" t="n"/>
      <c r="AW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  <c r="AL254" s="13" t="n"/>
      <c r="AM254" s="13" t="n"/>
      <c r="AN254" s="13" t="n"/>
      <c r="AO254" s="13" t="n"/>
      <c r="AP254" s="13" t="n"/>
      <c r="AQ254" s="13" t="n"/>
      <c r="AR254" s="13" t="n"/>
      <c r="AS254" s="13" t="n"/>
      <c r="AT254" s="13" t="n"/>
      <c r="AU254" s="13" t="n"/>
      <c r="AV254" s="13" t="n"/>
      <c r="AW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  <c r="AL255" s="13" t="n"/>
      <c r="AM255" s="13" t="n"/>
      <c r="AN255" s="13" t="n"/>
      <c r="AO255" s="13" t="n"/>
      <c r="AP255" s="13" t="n"/>
      <c r="AQ255" s="13" t="n"/>
      <c r="AR255" s="13" t="n"/>
      <c r="AS255" s="13" t="n"/>
      <c r="AT255" s="13" t="n"/>
      <c r="AU255" s="13" t="n"/>
      <c r="AV255" s="13" t="n"/>
      <c r="AW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  <c r="AF256" s="13" t="n"/>
      <c r="AG256" s="13" t="n"/>
      <c r="AH256" s="13" t="n"/>
      <c r="AI256" s="13" t="n"/>
      <c r="AJ256" s="13" t="n"/>
      <c r="AK256" s="13" t="n"/>
      <c r="AL256" s="13" t="n"/>
      <c r="AM256" s="13" t="n"/>
      <c r="AN256" s="13" t="n"/>
      <c r="AO256" s="13" t="n"/>
      <c r="AP256" s="13" t="n"/>
      <c r="AQ256" s="13" t="n"/>
      <c r="AR256" s="13" t="n"/>
      <c r="AS256" s="13" t="n"/>
      <c r="AT256" s="13" t="n"/>
      <c r="AU256" s="13" t="n"/>
      <c r="AV256" s="13" t="n"/>
      <c r="AW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  <c r="AL257" s="13" t="n"/>
      <c r="AM257" s="13" t="n"/>
      <c r="AN257" s="13" t="n"/>
      <c r="AO257" s="13" t="n"/>
      <c r="AP257" s="13" t="n"/>
      <c r="AQ257" s="13" t="n"/>
      <c r="AR257" s="13" t="n"/>
      <c r="AS257" s="13" t="n"/>
      <c r="AT257" s="13" t="n"/>
      <c r="AU257" s="13" t="n"/>
      <c r="AV257" s="13" t="n"/>
      <c r="AW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  <c r="AF258" s="13" t="n"/>
      <c r="AG258" s="13" t="n"/>
      <c r="AH258" s="13" t="n"/>
      <c r="AI258" s="13" t="n"/>
      <c r="AJ258" s="13" t="n"/>
      <c r="AK258" s="13" t="n"/>
      <c r="AL258" s="13" t="n"/>
      <c r="AM258" s="13" t="n"/>
      <c r="AN258" s="13" t="n"/>
      <c r="AO258" s="13" t="n"/>
      <c r="AP258" s="13" t="n"/>
      <c r="AQ258" s="13" t="n"/>
      <c r="AR258" s="13" t="n"/>
      <c r="AS258" s="13" t="n"/>
      <c r="AT258" s="13" t="n"/>
      <c r="AU258" s="13" t="n"/>
      <c r="AV258" s="13" t="n"/>
      <c r="AW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  <c r="AF259" s="13" t="n"/>
      <c r="AG259" s="13" t="n"/>
      <c r="AH259" s="13" t="n"/>
      <c r="AI259" s="13" t="n"/>
      <c r="AJ259" s="13" t="n"/>
      <c r="AK259" s="13" t="n"/>
      <c r="AL259" s="13" t="n"/>
      <c r="AM259" s="13" t="n"/>
      <c r="AN259" s="13" t="n"/>
      <c r="AO259" s="13" t="n"/>
      <c r="AP259" s="13" t="n"/>
      <c r="AQ259" s="13" t="n"/>
      <c r="AR259" s="13" t="n"/>
      <c r="AS259" s="13" t="n"/>
      <c r="AT259" s="13" t="n"/>
      <c r="AU259" s="13" t="n"/>
      <c r="AV259" s="13" t="n"/>
      <c r="AW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  <c r="AF260" s="13" t="n"/>
      <c r="AG260" s="13" t="n"/>
      <c r="AH260" s="13" t="n"/>
      <c r="AI260" s="13" t="n"/>
      <c r="AJ260" s="13" t="n"/>
      <c r="AK260" s="13" t="n"/>
      <c r="AL260" s="13" t="n"/>
      <c r="AM260" s="13" t="n"/>
      <c r="AN260" s="13" t="n"/>
      <c r="AO260" s="13" t="n"/>
      <c r="AP260" s="13" t="n"/>
      <c r="AQ260" s="13" t="n"/>
      <c r="AR260" s="13" t="n"/>
      <c r="AS260" s="13" t="n"/>
      <c r="AT260" s="13" t="n"/>
      <c r="AU260" s="13" t="n"/>
      <c r="AV260" s="13" t="n"/>
      <c r="AW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  <c r="AL261" s="13" t="n"/>
      <c r="AM261" s="13" t="n"/>
      <c r="AN261" s="13" t="n"/>
      <c r="AO261" s="13" t="n"/>
      <c r="AP261" s="13" t="n"/>
      <c r="AQ261" s="13" t="n"/>
      <c r="AR261" s="13" t="n"/>
      <c r="AS261" s="13" t="n"/>
      <c r="AT261" s="13" t="n"/>
      <c r="AU261" s="13" t="n"/>
      <c r="AV261" s="13" t="n"/>
      <c r="AW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  <c r="AF262" s="13" t="n"/>
      <c r="AG262" s="13" t="n"/>
      <c r="AH262" s="13" t="n"/>
      <c r="AI262" s="13" t="n"/>
      <c r="AJ262" s="13" t="n"/>
      <c r="AK262" s="13" t="n"/>
      <c r="AL262" s="13" t="n"/>
      <c r="AM262" s="13" t="n"/>
      <c r="AN262" s="13" t="n"/>
      <c r="AO262" s="13" t="n"/>
      <c r="AP262" s="13" t="n"/>
      <c r="AQ262" s="13" t="n"/>
      <c r="AR262" s="13" t="n"/>
      <c r="AS262" s="13" t="n"/>
      <c r="AT262" s="13" t="n"/>
      <c r="AU262" s="13" t="n"/>
      <c r="AV262" s="13" t="n"/>
      <c r="AW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  <c r="AF263" s="13" t="n"/>
      <c r="AG263" s="13" t="n"/>
      <c r="AH263" s="13" t="n"/>
      <c r="AI263" s="13" t="n"/>
      <c r="AJ263" s="13" t="n"/>
      <c r="AK263" s="13" t="n"/>
      <c r="AL263" s="13" t="n"/>
      <c r="AM263" s="13" t="n"/>
      <c r="AN263" s="13" t="n"/>
      <c r="AO263" s="13" t="n"/>
      <c r="AP263" s="13" t="n"/>
      <c r="AQ263" s="13" t="n"/>
      <c r="AR263" s="13" t="n"/>
      <c r="AS263" s="13" t="n"/>
      <c r="AT263" s="13" t="n"/>
      <c r="AU263" s="13" t="n"/>
      <c r="AV263" s="13" t="n"/>
      <c r="AW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  <c r="AF264" s="13" t="n"/>
      <c r="AG264" s="13" t="n"/>
      <c r="AH264" s="13" t="n"/>
      <c r="AI264" s="13" t="n"/>
      <c r="AJ264" s="13" t="n"/>
      <c r="AK264" s="13" t="n"/>
      <c r="AL264" s="13" t="n"/>
      <c r="AM264" s="13" t="n"/>
      <c r="AN264" s="13" t="n"/>
      <c r="AO264" s="13" t="n"/>
      <c r="AP264" s="13" t="n"/>
      <c r="AQ264" s="13" t="n"/>
      <c r="AR264" s="13" t="n"/>
      <c r="AS264" s="13" t="n"/>
      <c r="AT264" s="13" t="n"/>
      <c r="AU264" s="13" t="n"/>
      <c r="AV264" s="13" t="n"/>
      <c r="AW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  <c r="AL265" s="13" t="n"/>
      <c r="AM265" s="13" t="n"/>
      <c r="AN265" s="13" t="n"/>
      <c r="AO265" s="13" t="n"/>
      <c r="AP265" s="13" t="n"/>
      <c r="AQ265" s="13" t="n"/>
      <c r="AR265" s="13" t="n"/>
      <c r="AS265" s="13" t="n"/>
      <c r="AT265" s="13" t="n"/>
      <c r="AU265" s="13" t="n"/>
      <c r="AV265" s="13" t="n"/>
      <c r="AW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  <c r="AF266" s="13" t="n"/>
      <c r="AG266" s="13" t="n"/>
      <c r="AH266" s="13" t="n"/>
      <c r="AI266" s="13" t="n"/>
      <c r="AJ266" s="13" t="n"/>
      <c r="AK266" s="13" t="n"/>
      <c r="AL266" s="13" t="n"/>
      <c r="AM266" s="13" t="n"/>
      <c r="AN266" s="13" t="n"/>
      <c r="AO266" s="13" t="n"/>
      <c r="AP266" s="13" t="n"/>
      <c r="AQ266" s="13" t="n"/>
      <c r="AR266" s="13" t="n"/>
      <c r="AS266" s="13" t="n"/>
      <c r="AT266" s="13" t="n"/>
      <c r="AU266" s="13" t="n"/>
      <c r="AV266" s="13" t="n"/>
      <c r="AW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  <c r="AF267" s="13" t="n"/>
      <c r="AG267" s="13" t="n"/>
      <c r="AH267" s="13" t="n"/>
      <c r="AI267" s="13" t="n"/>
      <c r="AJ267" s="13" t="n"/>
      <c r="AK267" s="13" t="n"/>
      <c r="AL267" s="13" t="n"/>
      <c r="AM267" s="13" t="n"/>
      <c r="AN267" s="13" t="n"/>
      <c r="AO267" s="13" t="n"/>
      <c r="AP267" s="13" t="n"/>
      <c r="AQ267" s="13" t="n"/>
      <c r="AR267" s="13" t="n"/>
      <c r="AS267" s="13" t="n"/>
      <c r="AT267" s="13" t="n"/>
      <c r="AU267" s="13" t="n"/>
      <c r="AV267" s="13" t="n"/>
      <c r="AW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  <c r="AF268" s="13" t="n"/>
      <c r="AG268" s="13" t="n"/>
      <c r="AH268" s="13" t="n"/>
      <c r="AI268" s="13" t="n"/>
      <c r="AJ268" s="13" t="n"/>
      <c r="AK268" s="13" t="n"/>
      <c r="AL268" s="13" t="n"/>
      <c r="AM268" s="13" t="n"/>
      <c r="AN268" s="13" t="n"/>
      <c r="AO268" s="13" t="n"/>
      <c r="AP268" s="13" t="n"/>
      <c r="AQ268" s="13" t="n"/>
      <c r="AR268" s="13" t="n"/>
      <c r="AS268" s="13" t="n"/>
      <c r="AT268" s="13" t="n"/>
      <c r="AU268" s="13" t="n"/>
      <c r="AV268" s="13" t="n"/>
      <c r="AW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  <c r="AL269" s="13" t="n"/>
      <c r="AM269" s="13" t="n"/>
      <c r="AN269" s="13" t="n"/>
      <c r="AO269" s="13" t="n"/>
      <c r="AP269" s="13" t="n"/>
      <c r="AQ269" s="13" t="n"/>
      <c r="AR269" s="13" t="n"/>
      <c r="AS269" s="13" t="n"/>
      <c r="AT269" s="13" t="n"/>
      <c r="AU269" s="13" t="n"/>
      <c r="AV269" s="13" t="n"/>
      <c r="AW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  <c r="AF270" s="13" t="n"/>
      <c r="AG270" s="13" t="n"/>
      <c r="AH270" s="13" t="n"/>
      <c r="AI270" s="13" t="n"/>
      <c r="AJ270" s="13" t="n"/>
      <c r="AK270" s="13" t="n"/>
      <c r="AL270" s="13" t="n"/>
      <c r="AM270" s="13" t="n"/>
      <c r="AN270" s="13" t="n"/>
      <c r="AO270" s="13" t="n"/>
      <c r="AP270" s="13" t="n"/>
      <c r="AQ270" s="13" t="n"/>
      <c r="AR270" s="13" t="n"/>
      <c r="AS270" s="13" t="n"/>
      <c r="AT270" s="13" t="n"/>
      <c r="AU270" s="13" t="n"/>
      <c r="AV270" s="13" t="n"/>
      <c r="AW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  <c r="AF271" s="13" t="n"/>
      <c r="AG271" s="13" t="n"/>
      <c r="AH271" s="13" t="n"/>
      <c r="AI271" s="13" t="n"/>
      <c r="AJ271" s="13" t="n"/>
      <c r="AK271" s="13" t="n"/>
      <c r="AL271" s="13" t="n"/>
      <c r="AM271" s="13" t="n"/>
      <c r="AN271" s="13" t="n"/>
      <c r="AO271" s="13" t="n"/>
      <c r="AP271" s="13" t="n"/>
      <c r="AQ271" s="13" t="n"/>
      <c r="AR271" s="13" t="n"/>
      <c r="AS271" s="13" t="n"/>
      <c r="AT271" s="13" t="n"/>
      <c r="AU271" s="13" t="n"/>
      <c r="AV271" s="13" t="n"/>
      <c r="AW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  <c r="AF272" s="13" t="n"/>
      <c r="AG272" s="13" t="n"/>
      <c r="AH272" s="13" t="n"/>
      <c r="AI272" s="13" t="n"/>
      <c r="AJ272" s="13" t="n"/>
      <c r="AK272" s="13" t="n"/>
      <c r="AL272" s="13" t="n"/>
      <c r="AM272" s="13" t="n"/>
      <c r="AN272" s="13" t="n"/>
      <c r="AO272" s="13" t="n"/>
      <c r="AP272" s="13" t="n"/>
      <c r="AQ272" s="13" t="n"/>
      <c r="AR272" s="13" t="n"/>
      <c r="AS272" s="13" t="n"/>
      <c r="AT272" s="13" t="n"/>
      <c r="AU272" s="13" t="n"/>
      <c r="AV272" s="13" t="n"/>
      <c r="AW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  <c r="AL273" s="13" t="n"/>
      <c r="AM273" s="13" t="n"/>
      <c r="AN273" s="13" t="n"/>
      <c r="AO273" s="13" t="n"/>
      <c r="AP273" s="13" t="n"/>
      <c r="AQ273" s="13" t="n"/>
      <c r="AR273" s="13" t="n"/>
      <c r="AS273" s="13" t="n"/>
      <c r="AT273" s="13" t="n"/>
      <c r="AU273" s="13" t="n"/>
      <c r="AV273" s="13" t="n"/>
      <c r="AW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  <c r="AL274" s="13" t="n"/>
      <c r="AM274" s="13" t="n"/>
      <c r="AN274" s="13" t="n"/>
      <c r="AO274" s="13" t="n"/>
      <c r="AP274" s="13" t="n"/>
      <c r="AQ274" s="13" t="n"/>
      <c r="AR274" s="13" t="n"/>
      <c r="AS274" s="13" t="n"/>
      <c r="AT274" s="13" t="n"/>
      <c r="AU274" s="13" t="n"/>
      <c r="AV274" s="13" t="n"/>
      <c r="AW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  <c r="AL275" s="13" t="n"/>
      <c r="AM275" s="13" t="n"/>
      <c r="AN275" s="13" t="n"/>
      <c r="AO275" s="13" t="n"/>
      <c r="AP275" s="13" t="n"/>
      <c r="AQ275" s="13" t="n"/>
      <c r="AR275" s="13" t="n"/>
      <c r="AS275" s="13" t="n"/>
      <c r="AT275" s="13" t="n"/>
      <c r="AU275" s="13" t="n"/>
      <c r="AV275" s="13" t="n"/>
      <c r="AW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  <c r="AF276" s="13" t="n"/>
      <c r="AG276" s="13" t="n"/>
      <c r="AH276" s="13" t="n"/>
      <c r="AI276" s="13" t="n"/>
      <c r="AJ276" s="13" t="n"/>
      <c r="AK276" s="13" t="n"/>
      <c r="AL276" s="13" t="n"/>
      <c r="AM276" s="13" t="n"/>
      <c r="AN276" s="13" t="n"/>
      <c r="AO276" s="13" t="n"/>
      <c r="AP276" s="13" t="n"/>
      <c r="AQ276" s="13" t="n"/>
      <c r="AR276" s="13" t="n"/>
      <c r="AS276" s="13" t="n"/>
      <c r="AT276" s="13" t="n"/>
      <c r="AU276" s="13" t="n"/>
      <c r="AV276" s="13" t="n"/>
      <c r="AW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  <c r="AF277" s="13" t="n"/>
      <c r="AG277" s="13" t="n"/>
      <c r="AH277" s="13" t="n"/>
      <c r="AI277" s="13" t="n"/>
      <c r="AJ277" s="13" t="n"/>
      <c r="AK277" s="13" t="n"/>
      <c r="AL277" s="13" t="n"/>
      <c r="AM277" s="13" t="n"/>
      <c r="AN277" s="13" t="n"/>
      <c r="AO277" s="13" t="n"/>
      <c r="AP277" s="13" t="n"/>
      <c r="AQ277" s="13" t="n"/>
      <c r="AR277" s="13" t="n"/>
      <c r="AS277" s="13" t="n"/>
      <c r="AT277" s="13" t="n"/>
      <c r="AU277" s="13" t="n"/>
      <c r="AV277" s="13" t="n"/>
      <c r="AW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  <c r="AF278" s="13" t="n"/>
      <c r="AG278" s="13" t="n"/>
      <c r="AH278" s="13" t="n"/>
      <c r="AI278" s="13" t="n"/>
      <c r="AJ278" s="13" t="n"/>
      <c r="AK278" s="13" t="n"/>
      <c r="AL278" s="13" t="n"/>
      <c r="AM278" s="13" t="n"/>
      <c r="AN278" s="13" t="n"/>
      <c r="AO278" s="13" t="n"/>
      <c r="AP278" s="13" t="n"/>
      <c r="AQ278" s="13" t="n"/>
      <c r="AR278" s="13" t="n"/>
      <c r="AS278" s="13" t="n"/>
      <c r="AT278" s="13" t="n"/>
      <c r="AU278" s="13" t="n"/>
      <c r="AV278" s="13" t="n"/>
      <c r="AW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  <c r="AF279" s="13" t="n"/>
      <c r="AG279" s="13" t="n"/>
      <c r="AH279" s="13" t="n"/>
      <c r="AI279" s="13" t="n"/>
      <c r="AJ279" s="13" t="n"/>
      <c r="AK279" s="13" t="n"/>
      <c r="AL279" s="13" t="n"/>
      <c r="AM279" s="13" t="n"/>
      <c r="AN279" s="13" t="n"/>
      <c r="AO279" s="13" t="n"/>
      <c r="AP279" s="13" t="n"/>
      <c r="AQ279" s="13" t="n"/>
      <c r="AR279" s="13" t="n"/>
      <c r="AS279" s="13" t="n"/>
      <c r="AT279" s="13" t="n"/>
      <c r="AU279" s="13" t="n"/>
      <c r="AV279" s="13" t="n"/>
      <c r="AW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  <c r="AF280" s="13" t="n"/>
      <c r="AG280" s="13" t="n"/>
      <c r="AH280" s="13" t="n"/>
      <c r="AI280" s="13" t="n"/>
      <c r="AJ280" s="13" t="n"/>
      <c r="AK280" s="13" t="n"/>
      <c r="AL280" s="13" t="n"/>
      <c r="AM280" s="13" t="n"/>
      <c r="AN280" s="13" t="n"/>
      <c r="AO280" s="13" t="n"/>
      <c r="AP280" s="13" t="n"/>
      <c r="AQ280" s="13" t="n"/>
      <c r="AR280" s="13" t="n"/>
      <c r="AS280" s="13" t="n"/>
      <c r="AT280" s="13" t="n"/>
      <c r="AU280" s="13" t="n"/>
      <c r="AV280" s="13" t="n"/>
      <c r="AW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  <c r="AF281" s="13" t="n"/>
      <c r="AG281" s="13" t="n"/>
      <c r="AH281" s="13" t="n"/>
      <c r="AI281" s="13" t="n"/>
      <c r="AJ281" s="13" t="n"/>
      <c r="AK281" s="13" t="n"/>
      <c r="AL281" s="13" t="n"/>
      <c r="AM281" s="13" t="n"/>
      <c r="AN281" s="13" t="n"/>
      <c r="AO281" s="13" t="n"/>
      <c r="AP281" s="13" t="n"/>
      <c r="AQ281" s="13" t="n"/>
      <c r="AR281" s="13" t="n"/>
      <c r="AS281" s="13" t="n"/>
      <c r="AT281" s="13" t="n"/>
      <c r="AU281" s="13" t="n"/>
      <c r="AV281" s="13" t="n"/>
      <c r="AW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  <c r="AF282" s="13" t="n"/>
      <c r="AG282" s="13" t="n"/>
      <c r="AH282" s="13" t="n"/>
      <c r="AI282" s="13" t="n"/>
      <c r="AJ282" s="13" t="n"/>
      <c r="AK282" s="13" t="n"/>
      <c r="AL282" s="13" t="n"/>
      <c r="AM282" s="13" t="n"/>
      <c r="AN282" s="13" t="n"/>
      <c r="AO282" s="13" t="n"/>
      <c r="AP282" s="13" t="n"/>
      <c r="AQ282" s="13" t="n"/>
      <c r="AR282" s="13" t="n"/>
      <c r="AS282" s="13" t="n"/>
      <c r="AT282" s="13" t="n"/>
      <c r="AU282" s="13" t="n"/>
      <c r="AV282" s="13" t="n"/>
      <c r="AW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  <c r="AL283" s="13" t="n"/>
      <c r="AM283" s="13" t="n"/>
      <c r="AN283" s="13" t="n"/>
      <c r="AO283" s="13" t="n"/>
      <c r="AP283" s="13" t="n"/>
      <c r="AQ283" s="13" t="n"/>
      <c r="AR283" s="13" t="n"/>
      <c r="AS283" s="13" t="n"/>
      <c r="AT283" s="13" t="n"/>
      <c r="AU283" s="13" t="n"/>
      <c r="AV283" s="13" t="n"/>
      <c r="AW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  <c r="AF284" s="13" t="n"/>
      <c r="AG284" s="13" t="n"/>
      <c r="AH284" s="13" t="n"/>
      <c r="AI284" s="13" t="n"/>
      <c r="AJ284" s="13" t="n"/>
      <c r="AK284" s="13" t="n"/>
      <c r="AL284" s="13" t="n"/>
      <c r="AM284" s="13" t="n"/>
      <c r="AN284" s="13" t="n"/>
      <c r="AO284" s="13" t="n"/>
      <c r="AP284" s="13" t="n"/>
      <c r="AQ284" s="13" t="n"/>
      <c r="AR284" s="13" t="n"/>
      <c r="AS284" s="13" t="n"/>
      <c r="AT284" s="13" t="n"/>
      <c r="AU284" s="13" t="n"/>
      <c r="AV284" s="13" t="n"/>
      <c r="AW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  <c r="AF285" s="13" t="n"/>
      <c r="AG285" s="13" t="n"/>
      <c r="AH285" s="13" t="n"/>
      <c r="AI285" s="13" t="n"/>
      <c r="AJ285" s="13" t="n"/>
      <c r="AK285" s="13" t="n"/>
      <c r="AL285" s="13" t="n"/>
      <c r="AM285" s="13" t="n"/>
      <c r="AN285" s="13" t="n"/>
      <c r="AO285" s="13" t="n"/>
      <c r="AP285" s="13" t="n"/>
      <c r="AQ285" s="13" t="n"/>
      <c r="AR285" s="13" t="n"/>
      <c r="AS285" s="13" t="n"/>
      <c r="AT285" s="13" t="n"/>
      <c r="AU285" s="13" t="n"/>
      <c r="AV285" s="13" t="n"/>
      <c r="AW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  <c r="AF286" s="13" t="n"/>
      <c r="AG286" s="13" t="n"/>
      <c r="AH286" s="13" t="n"/>
      <c r="AI286" s="13" t="n"/>
      <c r="AJ286" s="13" t="n"/>
      <c r="AK286" s="13" t="n"/>
      <c r="AL286" s="13" t="n"/>
      <c r="AM286" s="13" t="n"/>
      <c r="AN286" s="13" t="n"/>
      <c r="AO286" s="13" t="n"/>
      <c r="AP286" s="13" t="n"/>
      <c r="AQ286" s="13" t="n"/>
      <c r="AR286" s="13" t="n"/>
      <c r="AS286" s="13" t="n"/>
      <c r="AT286" s="13" t="n"/>
      <c r="AU286" s="13" t="n"/>
      <c r="AV286" s="13" t="n"/>
      <c r="AW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  <c r="AL287" s="13" t="n"/>
      <c r="AM287" s="13" t="n"/>
      <c r="AN287" s="13" t="n"/>
      <c r="AO287" s="13" t="n"/>
      <c r="AP287" s="13" t="n"/>
      <c r="AQ287" s="13" t="n"/>
      <c r="AR287" s="13" t="n"/>
      <c r="AS287" s="13" t="n"/>
      <c r="AT287" s="13" t="n"/>
      <c r="AU287" s="13" t="n"/>
      <c r="AV287" s="13" t="n"/>
      <c r="AW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  <c r="AF288" s="13" t="n"/>
      <c r="AG288" s="13" t="n"/>
      <c r="AH288" s="13" t="n"/>
      <c r="AI288" s="13" t="n"/>
      <c r="AJ288" s="13" t="n"/>
      <c r="AK288" s="13" t="n"/>
      <c r="AL288" s="13" t="n"/>
      <c r="AM288" s="13" t="n"/>
      <c r="AN288" s="13" t="n"/>
      <c r="AO288" s="13" t="n"/>
      <c r="AP288" s="13" t="n"/>
      <c r="AQ288" s="13" t="n"/>
      <c r="AR288" s="13" t="n"/>
      <c r="AS288" s="13" t="n"/>
      <c r="AT288" s="13" t="n"/>
      <c r="AU288" s="13" t="n"/>
      <c r="AV288" s="13" t="n"/>
      <c r="AW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  <c r="AF289" s="13" t="n"/>
      <c r="AG289" s="13" t="n"/>
      <c r="AH289" s="13" t="n"/>
      <c r="AI289" s="13" t="n"/>
      <c r="AJ289" s="13" t="n"/>
      <c r="AK289" s="13" t="n"/>
      <c r="AL289" s="13" t="n"/>
      <c r="AM289" s="13" t="n"/>
      <c r="AN289" s="13" t="n"/>
      <c r="AO289" s="13" t="n"/>
      <c r="AP289" s="13" t="n"/>
      <c r="AQ289" s="13" t="n"/>
      <c r="AR289" s="13" t="n"/>
      <c r="AS289" s="13" t="n"/>
      <c r="AT289" s="13" t="n"/>
      <c r="AU289" s="13" t="n"/>
      <c r="AV289" s="13" t="n"/>
      <c r="AW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  <c r="AF290" s="13" t="n"/>
      <c r="AG290" s="13" t="n"/>
      <c r="AH290" s="13" t="n"/>
      <c r="AI290" s="13" t="n"/>
      <c r="AJ290" s="13" t="n"/>
      <c r="AK290" s="13" t="n"/>
      <c r="AL290" s="13" t="n"/>
      <c r="AM290" s="13" t="n"/>
      <c r="AN290" s="13" t="n"/>
      <c r="AO290" s="13" t="n"/>
      <c r="AP290" s="13" t="n"/>
      <c r="AQ290" s="13" t="n"/>
      <c r="AR290" s="13" t="n"/>
      <c r="AS290" s="13" t="n"/>
      <c r="AT290" s="13" t="n"/>
      <c r="AU290" s="13" t="n"/>
      <c r="AV290" s="13" t="n"/>
      <c r="AW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  <c r="AL291" s="13" t="n"/>
      <c r="AM291" s="13" t="n"/>
      <c r="AN291" s="13" t="n"/>
      <c r="AO291" s="13" t="n"/>
      <c r="AP291" s="13" t="n"/>
      <c r="AQ291" s="13" t="n"/>
      <c r="AR291" s="13" t="n"/>
      <c r="AS291" s="13" t="n"/>
      <c r="AT291" s="13" t="n"/>
      <c r="AU291" s="13" t="n"/>
      <c r="AV291" s="13" t="n"/>
      <c r="AW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  <c r="AF292" s="13" t="n"/>
      <c r="AG292" s="13" t="n"/>
      <c r="AH292" s="13" t="n"/>
      <c r="AI292" s="13" t="n"/>
      <c r="AJ292" s="13" t="n"/>
      <c r="AK292" s="13" t="n"/>
      <c r="AL292" s="13" t="n"/>
      <c r="AM292" s="13" t="n"/>
      <c r="AN292" s="13" t="n"/>
      <c r="AO292" s="13" t="n"/>
      <c r="AP292" s="13" t="n"/>
      <c r="AQ292" s="13" t="n"/>
      <c r="AR292" s="13" t="n"/>
      <c r="AS292" s="13" t="n"/>
      <c r="AT292" s="13" t="n"/>
      <c r="AU292" s="13" t="n"/>
      <c r="AV292" s="13" t="n"/>
      <c r="AW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  <c r="AF293" s="13" t="n"/>
      <c r="AG293" s="13" t="n"/>
      <c r="AH293" s="13" t="n"/>
      <c r="AI293" s="13" t="n"/>
      <c r="AJ293" s="13" t="n"/>
      <c r="AK293" s="13" t="n"/>
      <c r="AL293" s="13" t="n"/>
      <c r="AM293" s="13" t="n"/>
      <c r="AN293" s="13" t="n"/>
      <c r="AO293" s="13" t="n"/>
      <c r="AP293" s="13" t="n"/>
      <c r="AQ293" s="13" t="n"/>
      <c r="AR293" s="13" t="n"/>
      <c r="AS293" s="13" t="n"/>
      <c r="AT293" s="13" t="n"/>
      <c r="AU293" s="13" t="n"/>
      <c r="AV293" s="13" t="n"/>
      <c r="AW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  <c r="AL294" s="13" t="n"/>
      <c r="AM294" s="13" t="n"/>
      <c r="AN294" s="13" t="n"/>
      <c r="AO294" s="13" t="n"/>
      <c r="AP294" s="13" t="n"/>
      <c r="AQ294" s="13" t="n"/>
      <c r="AR294" s="13" t="n"/>
      <c r="AS294" s="13" t="n"/>
      <c r="AT294" s="13" t="n"/>
      <c r="AU294" s="13" t="n"/>
      <c r="AV294" s="13" t="n"/>
      <c r="AW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  <c r="AL295" s="13" t="n"/>
      <c r="AM295" s="13" t="n"/>
      <c r="AN295" s="13" t="n"/>
      <c r="AO295" s="13" t="n"/>
      <c r="AP295" s="13" t="n"/>
      <c r="AQ295" s="13" t="n"/>
      <c r="AR295" s="13" t="n"/>
      <c r="AS295" s="13" t="n"/>
      <c r="AT295" s="13" t="n"/>
      <c r="AU295" s="13" t="n"/>
      <c r="AV295" s="13" t="n"/>
      <c r="AW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  <c r="AF296" s="13" t="n"/>
      <c r="AG296" s="13" t="n"/>
      <c r="AH296" s="13" t="n"/>
      <c r="AI296" s="13" t="n"/>
      <c r="AJ296" s="13" t="n"/>
      <c r="AK296" s="13" t="n"/>
      <c r="AL296" s="13" t="n"/>
      <c r="AM296" s="13" t="n"/>
      <c r="AN296" s="13" t="n"/>
      <c r="AO296" s="13" t="n"/>
      <c r="AP296" s="13" t="n"/>
      <c r="AQ296" s="13" t="n"/>
      <c r="AR296" s="13" t="n"/>
      <c r="AS296" s="13" t="n"/>
      <c r="AT296" s="13" t="n"/>
      <c r="AU296" s="13" t="n"/>
      <c r="AV296" s="13" t="n"/>
      <c r="AW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  <c r="AF297" s="13" t="n"/>
      <c r="AG297" s="13" t="n"/>
      <c r="AH297" s="13" t="n"/>
      <c r="AI297" s="13" t="n"/>
      <c r="AJ297" s="13" t="n"/>
      <c r="AK297" s="13" t="n"/>
      <c r="AL297" s="13" t="n"/>
      <c r="AM297" s="13" t="n"/>
      <c r="AN297" s="13" t="n"/>
      <c r="AO297" s="13" t="n"/>
      <c r="AP297" s="13" t="n"/>
      <c r="AQ297" s="13" t="n"/>
      <c r="AR297" s="13" t="n"/>
      <c r="AS297" s="13" t="n"/>
      <c r="AT297" s="13" t="n"/>
      <c r="AU297" s="13" t="n"/>
      <c r="AV297" s="13" t="n"/>
      <c r="AW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  <c r="AF298" s="13" t="n"/>
      <c r="AG298" s="13" t="n"/>
      <c r="AH298" s="13" t="n"/>
      <c r="AI298" s="13" t="n"/>
      <c r="AJ298" s="13" t="n"/>
      <c r="AK298" s="13" t="n"/>
      <c r="AL298" s="13" t="n"/>
      <c r="AM298" s="13" t="n"/>
      <c r="AN298" s="13" t="n"/>
      <c r="AO298" s="13" t="n"/>
      <c r="AP298" s="13" t="n"/>
      <c r="AQ298" s="13" t="n"/>
      <c r="AR298" s="13" t="n"/>
      <c r="AS298" s="13" t="n"/>
      <c r="AT298" s="13" t="n"/>
      <c r="AU298" s="13" t="n"/>
      <c r="AV298" s="13" t="n"/>
      <c r="AW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  <c r="AL299" s="13" t="n"/>
      <c r="AM299" s="13" t="n"/>
      <c r="AN299" s="13" t="n"/>
      <c r="AO299" s="13" t="n"/>
      <c r="AP299" s="13" t="n"/>
      <c r="AQ299" s="13" t="n"/>
      <c r="AR299" s="13" t="n"/>
      <c r="AS299" s="13" t="n"/>
      <c r="AT299" s="13" t="n"/>
      <c r="AU299" s="13" t="n"/>
      <c r="AV299" s="13" t="n"/>
      <c r="AW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  <c r="AF300" s="13" t="n"/>
      <c r="AG300" s="13" t="n"/>
      <c r="AH300" s="13" t="n"/>
      <c r="AI300" s="13" t="n"/>
      <c r="AJ300" s="13" t="n"/>
      <c r="AK300" s="13" t="n"/>
      <c r="AL300" s="13" t="n"/>
      <c r="AM300" s="13" t="n"/>
      <c r="AN300" s="13" t="n"/>
      <c r="AO300" s="13" t="n"/>
      <c r="AP300" s="13" t="n"/>
      <c r="AQ300" s="13" t="n"/>
      <c r="AR300" s="13" t="n"/>
      <c r="AS300" s="13" t="n"/>
      <c r="AT300" s="13" t="n"/>
      <c r="AU300" s="13" t="n"/>
      <c r="AV300" s="13" t="n"/>
      <c r="AW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  <c r="AF301" s="13" t="n"/>
      <c r="AG301" s="13" t="n"/>
      <c r="AH301" s="13" t="n"/>
      <c r="AI301" s="13" t="n"/>
      <c r="AJ301" s="13" t="n"/>
      <c r="AK301" s="13" t="n"/>
      <c r="AL301" s="13" t="n"/>
      <c r="AM301" s="13" t="n"/>
      <c r="AN301" s="13" t="n"/>
      <c r="AO301" s="13" t="n"/>
      <c r="AP301" s="13" t="n"/>
      <c r="AQ301" s="13" t="n"/>
      <c r="AR301" s="13" t="n"/>
      <c r="AS301" s="13" t="n"/>
      <c r="AT301" s="13" t="n"/>
      <c r="AU301" s="13" t="n"/>
      <c r="AV301" s="13" t="n"/>
      <c r="AW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  <c r="AF302" s="13" t="n"/>
      <c r="AG302" s="13" t="n"/>
      <c r="AH302" s="13" t="n"/>
      <c r="AI302" s="13" t="n"/>
      <c r="AJ302" s="13" t="n"/>
      <c r="AK302" s="13" t="n"/>
      <c r="AL302" s="13" t="n"/>
      <c r="AM302" s="13" t="n"/>
      <c r="AN302" s="13" t="n"/>
      <c r="AO302" s="13" t="n"/>
      <c r="AP302" s="13" t="n"/>
      <c r="AQ302" s="13" t="n"/>
      <c r="AR302" s="13" t="n"/>
      <c r="AS302" s="13" t="n"/>
      <c r="AT302" s="13" t="n"/>
      <c r="AU302" s="13" t="n"/>
      <c r="AV302" s="13" t="n"/>
      <c r="AW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  <c r="AL303" s="13" t="n"/>
      <c r="AM303" s="13" t="n"/>
      <c r="AN303" s="13" t="n"/>
      <c r="AO303" s="13" t="n"/>
      <c r="AP303" s="13" t="n"/>
      <c r="AQ303" s="13" t="n"/>
      <c r="AR303" s="13" t="n"/>
      <c r="AS303" s="13" t="n"/>
      <c r="AT303" s="13" t="n"/>
      <c r="AU303" s="13" t="n"/>
      <c r="AV303" s="13" t="n"/>
      <c r="AW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  <c r="AF304" s="13" t="n"/>
      <c r="AG304" s="13" t="n"/>
      <c r="AH304" s="13" t="n"/>
      <c r="AI304" s="13" t="n"/>
      <c r="AJ304" s="13" t="n"/>
      <c r="AK304" s="13" t="n"/>
      <c r="AL304" s="13" t="n"/>
      <c r="AM304" s="13" t="n"/>
      <c r="AN304" s="13" t="n"/>
      <c r="AO304" s="13" t="n"/>
      <c r="AP304" s="13" t="n"/>
      <c r="AQ304" s="13" t="n"/>
      <c r="AR304" s="13" t="n"/>
      <c r="AS304" s="13" t="n"/>
      <c r="AT304" s="13" t="n"/>
      <c r="AU304" s="13" t="n"/>
      <c r="AV304" s="13" t="n"/>
      <c r="AW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  <c r="AF305" s="13" t="n"/>
      <c r="AG305" s="13" t="n"/>
      <c r="AH305" s="13" t="n"/>
      <c r="AI305" s="13" t="n"/>
      <c r="AJ305" s="13" t="n"/>
      <c r="AK305" s="13" t="n"/>
      <c r="AL305" s="13" t="n"/>
      <c r="AM305" s="13" t="n"/>
      <c r="AN305" s="13" t="n"/>
      <c r="AO305" s="13" t="n"/>
      <c r="AP305" s="13" t="n"/>
      <c r="AQ305" s="13" t="n"/>
      <c r="AR305" s="13" t="n"/>
      <c r="AS305" s="13" t="n"/>
      <c r="AT305" s="13" t="n"/>
      <c r="AU305" s="13" t="n"/>
      <c r="AV305" s="13" t="n"/>
      <c r="AW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  <c r="AF306" s="13" t="n"/>
      <c r="AG306" s="13" t="n"/>
      <c r="AH306" s="13" t="n"/>
      <c r="AI306" s="13" t="n"/>
      <c r="AJ306" s="13" t="n"/>
      <c r="AK306" s="13" t="n"/>
      <c r="AL306" s="13" t="n"/>
      <c r="AM306" s="13" t="n"/>
      <c r="AN306" s="13" t="n"/>
      <c r="AO306" s="13" t="n"/>
      <c r="AP306" s="13" t="n"/>
      <c r="AQ306" s="13" t="n"/>
      <c r="AR306" s="13" t="n"/>
      <c r="AS306" s="13" t="n"/>
      <c r="AT306" s="13" t="n"/>
      <c r="AU306" s="13" t="n"/>
      <c r="AV306" s="13" t="n"/>
      <c r="AW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  <c r="AL307" s="13" t="n"/>
      <c r="AM307" s="13" t="n"/>
      <c r="AN307" s="13" t="n"/>
      <c r="AO307" s="13" t="n"/>
      <c r="AP307" s="13" t="n"/>
      <c r="AQ307" s="13" t="n"/>
      <c r="AR307" s="13" t="n"/>
      <c r="AS307" s="13" t="n"/>
      <c r="AT307" s="13" t="n"/>
      <c r="AU307" s="13" t="n"/>
      <c r="AV307" s="13" t="n"/>
      <c r="AW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  <c r="AF308" s="13" t="n"/>
      <c r="AG308" s="13" t="n"/>
      <c r="AH308" s="13" t="n"/>
      <c r="AI308" s="13" t="n"/>
      <c r="AJ308" s="13" t="n"/>
      <c r="AK308" s="13" t="n"/>
      <c r="AL308" s="13" t="n"/>
      <c r="AM308" s="13" t="n"/>
      <c r="AN308" s="13" t="n"/>
      <c r="AO308" s="13" t="n"/>
      <c r="AP308" s="13" t="n"/>
      <c r="AQ308" s="13" t="n"/>
      <c r="AR308" s="13" t="n"/>
      <c r="AS308" s="13" t="n"/>
      <c r="AT308" s="13" t="n"/>
      <c r="AU308" s="13" t="n"/>
      <c r="AV308" s="13" t="n"/>
      <c r="AW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  <c r="AF309" s="13" t="n"/>
      <c r="AG309" s="13" t="n"/>
      <c r="AH309" s="13" t="n"/>
      <c r="AI309" s="13" t="n"/>
      <c r="AJ309" s="13" t="n"/>
      <c r="AK309" s="13" t="n"/>
      <c r="AL309" s="13" t="n"/>
      <c r="AM309" s="13" t="n"/>
      <c r="AN309" s="13" t="n"/>
      <c r="AO309" s="13" t="n"/>
      <c r="AP309" s="13" t="n"/>
      <c r="AQ309" s="13" t="n"/>
      <c r="AR309" s="13" t="n"/>
      <c r="AS309" s="13" t="n"/>
      <c r="AT309" s="13" t="n"/>
      <c r="AU309" s="13" t="n"/>
      <c r="AV309" s="13" t="n"/>
      <c r="AW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  <c r="AF310" s="13" t="n"/>
      <c r="AG310" s="13" t="n"/>
      <c r="AH310" s="13" t="n"/>
      <c r="AI310" s="13" t="n"/>
      <c r="AJ310" s="13" t="n"/>
      <c r="AK310" s="13" t="n"/>
      <c r="AL310" s="13" t="n"/>
      <c r="AM310" s="13" t="n"/>
      <c r="AN310" s="13" t="n"/>
      <c r="AO310" s="13" t="n"/>
      <c r="AP310" s="13" t="n"/>
      <c r="AQ310" s="13" t="n"/>
      <c r="AR310" s="13" t="n"/>
      <c r="AS310" s="13" t="n"/>
      <c r="AT310" s="13" t="n"/>
      <c r="AU310" s="13" t="n"/>
      <c r="AV310" s="13" t="n"/>
      <c r="AW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  <c r="AL311" s="13" t="n"/>
      <c r="AM311" s="13" t="n"/>
      <c r="AN311" s="13" t="n"/>
      <c r="AO311" s="13" t="n"/>
      <c r="AP311" s="13" t="n"/>
      <c r="AQ311" s="13" t="n"/>
      <c r="AR311" s="13" t="n"/>
      <c r="AS311" s="13" t="n"/>
      <c r="AT311" s="13" t="n"/>
      <c r="AU311" s="13" t="n"/>
      <c r="AV311" s="13" t="n"/>
      <c r="AW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  <c r="AF312" s="13" t="n"/>
      <c r="AG312" s="13" t="n"/>
      <c r="AH312" s="13" t="n"/>
      <c r="AI312" s="13" t="n"/>
      <c r="AJ312" s="13" t="n"/>
      <c r="AK312" s="13" t="n"/>
      <c r="AL312" s="13" t="n"/>
      <c r="AM312" s="13" t="n"/>
      <c r="AN312" s="13" t="n"/>
      <c r="AO312" s="13" t="n"/>
      <c r="AP312" s="13" t="n"/>
      <c r="AQ312" s="13" t="n"/>
      <c r="AR312" s="13" t="n"/>
      <c r="AS312" s="13" t="n"/>
      <c r="AT312" s="13" t="n"/>
      <c r="AU312" s="13" t="n"/>
      <c r="AV312" s="13" t="n"/>
      <c r="AW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  <c r="AF313" s="13" t="n"/>
      <c r="AG313" s="13" t="n"/>
      <c r="AH313" s="13" t="n"/>
      <c r="AI313" s="13" t="n"/>
      <c r="AJ313" s="13" t="n"/>
      <c r="AK313" s="13" t="n"/>
      <c r="AL313" s="13" t="n"/>
      <c r="AM313" s="13" t="n"/>
      <c r="AN313" s="13" t="n"/>
      <c r="AO313" s="13" t="n"/>
      <c r="AP313" s="13" t="n"/>
      <c r="AQ313" s="13" t="n"/>
      <c r="AR313" s="13" t="n"/>
      <c r="AS313" s="13" t="n"/>
      <c r="AT313" s="13" t="n"/>
      <c r="AU313" s="13" t="n"/>
      <c r="AV313" s="13" t="n"/>
      <c r="AW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  <c r="AF314" s="13" t="n"/>
      <c r="AG314" s="13" t="n"/>
      <c r="AH314" s="13" t="n"/>
      <c r="AI314" s="13" t="n"/>
      <c r="AJ314" s="13" t="n"/>
      <c r="AK314" s="13" t="n"/>
      <c r="AL314" s="13" t="n"/>
      <c r="AM314" s="13" t="n"/>
      <c r="AN314" s="13" t="n"/>
      <c r="AO314" s="13" t="n"/>
      <c r="AP314" s="13" t="n"/>
      <c r="AQ314" s="13" t="n"/>
      <c r="AR314" s="13" t="n"/>
      <c r="AS314" s="13" t="n"/>
      <c r="AT314" s="13" t="n"/>
      <c r="AU314" s="13" t="n"/>
      <c r="AV314" s="13" t="n"/>
      <c r="AW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  <c r="AL315" s="13" t="n"/>
      <c r="AM315" s="13" t="n"/>
      <c r="AN315" s="13" t="n"/>
      <c r="AO315" s="13" t="n"/>
      <c r="AP315" s="13" t="n"/>
      <c r="AQ315" s="13" t="n"/>
      <c r="AR315" s="13" t="n"/>
      <c r="AS315" s="13" t="n"/>
      <c r="AT315" s="13" t="n"/>
      <c r="AU315" s="13" t="n"/>
      <c r="AV315" s="13" t="n"/>
      <c r="AW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  <c r="AF316" s="13" t="n"/>
      <c r="AG316" s="13" t="n"/>
      <c r="AH316" s="13" t="n"/>
      <c r="AI316" s="13" t="n"/>
      <c r="AJ316" s="13" t="n"/>
      <c r="AK316" s="13" t="n"/>
      <c r="AL316" s="13" t="n"/>
      <c r="AM316" s="13" t="n"/>
      <c r="AN316" s="13" t="n"/>
      <c r="AO316" s="13" t="n"/>
      <c r="AP316" s="13" t="n"/>
      <c r="AQ316" s="13" t="n"/>
      <c r="AR316" s="13" t="n"/>
      <c r="AS316" s="13" t="n"/>
      <c r="AT316" s="13" t="n"/>
      <c r="AU316" s="13" t="n"/>
      <c r="AV316" s="13" t="n"/>
      <c r="AW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  <c r="AF317" s="13" t="n"/>
      <c r="AG317" s="13" t="n"/>
      <c r="AH317" s="13" t="n"/>
      <c r="AI317" s="13" t="n"/>
      <c r="AJ317" s="13" t="n"/>
      <c r="AK317" s="13" t="n"/>
      <c r="AL317" s="13" t="n"/>
      <c r="AM317" s="13" t="n"/>
      <c r="AN317" s="13" t="n"/>
      <c r="AO317" s="13" t="n"/>
      <c r="AP317" s="13" t="n"/>
      <c r="AQ317" s="13" t="n"/>
      <c r="AR317" s="13" t="n"/>
      <c r="AS317" s="13" t="n"/>
      <c r="AT317" s="13" t="n"/>
      <c r="AU317" s="13" t="n"/>
      <c r="AV317" s="13" t="n"/>
      <c r="AW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  <c r="AF318" s="13" t="n"/>
      <c r="AG318" s="13" t="n"/>
      <c r="AH318" s="13" t="n"/>
      <c r="AI318" s="13" t="n"/>
      <c r="AJ318" s="13" t="n"/>
      <c r="AK318" s="13" t="n"/>
      <c r="AL318" s="13" t="n"/>
      <c r="AM318" s="13" t="n"/>
      <c r="AN318" s="13" t="n"/>
      <c r="AO318" s="13" t="n"/>
      <c r="AP318" s="13" t="n"/>
      <c r="AQ318" s="13" t="n"/>
      <c r="AR318" s="13" t="n"/>
      <c r="AS318" s="13" t="n"/>
      <c r="AT318" s="13" t="n"/>
      <c r="AU318" s="13" t="n"/>
      <c r="AV318" s="13" t="n"/>
      <c r="AW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  <c r="AL319" s="13" t="n"/>
      <c r="AM319" s="13" t="n"/>
      <c r="AN319" s="13" t="n"/>
      <c r="AO319" s="13" t="n"/>
      <c r="AP319" s="13" t="n"/>
      <c r="AQ319" s="13" t="n"/>
      <c r="AR319" s="13" t="n"/>
      <c r="AS319" s="13" t="n"/>
      <c r="AT319" s="13" t="n"/>
      <c r="AU319" s="13" t="n"/>
      <c r="AV319" s="13" t="n"/>
      <c r="AW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  <c r="AF320" s="13" t="n"/>
      <c r="AG320" s="13" t="n"/>
      <c r="AH320" s="13" t="n"/>
      <c r="AI320" s="13" t="n"/>
      <c r="AJ320" s="13" t="n"/>
      <c r="AK320" s="13" t="n"/>
      <c r="AL320" s="13" t="n"/>
      <c r="AM320" s="13" t="n"/>
      <c r="AN320" s="13" t="n"/>
      <c r="AO320" s="13" t="n"/>
      <c r="AP320" s="13" t="n"/>
      <c r="AQ320" s="13" t="n"/>
      <c r="AR320" s="13" t="n"/>
      <c r="AS320" s="13" t="n"/>
      <c r="AT320" s="13" t="n"/>
      <c r="AU320" s="13" t="n"/>
      <c r="AV320" s="13" t="n"/>
      <c r="AW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  <c r="AF321" s="13" t="n"/>
      <c r="AG321" s="13" t="n"/>
      <c r="AH321" s="13" t="n"/>
      <c r="AI321" s="13" t="n"/>
      <c r="AJ321" s="13" t="n"/>
      <c r="AK321" s="13" t="n"/>
      <c r="AL321" s="13" t="n"/>
      <c r="AM321" s="13" t="n"/>
      <c r="AN321" s="13" t="n"/>
      <c r="AO321" s="13" t="n"/>
      <c r="AP321" s="13" t="n"/>
      <c r="AQ321" s="13" t="n"/>
      <c r="AR321" s="13" t="n"/>
      <c r="AS321" s="13" t="n"/>
      <c r="AT321" s="13" t="n"/>
      <c r="AU321" s="13" t="n"/>
      <c r="AV321" s="13" t="n"/>
      <c r="AW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  <c r="AF322" s="13" t="n"/>
      <c r="AG322" s="13" t="n"/>
      <c r="AH322" s="13" t="n"/>
      <c r="AI322" s="13" t="n"/>
      <c r="AJ322" s="13" t="n"/>
      <c r="AK322" s="13" t="n"/>
      <c r="AL322" s="13" t="n"/>
      <c r="AM322" s="13" t="n"/>
      <c r="AN322" s="13" t="n"/>
      <c r="AO322" s="13" t="n"/>
      <c r="AP322" s="13" t="n"/>
      <c r="AQ322" s="13" t="n"/>
      <c r="AR322" s="13" t="n"/>
      <c r="AS322" s="13" t="n"/>
      <c r="AT322" s="13" t="n"/>
      <c r="AU322" s="13" t="n"/>
      <c r="AV322" s="13" t="n"/>
      <c r="AW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  <c r="AF323" s="13" t="n"/>
      <c r="AG323" s="13" t="n"/>
      <c r="AH323" s="13" t="n"/>
      <c r="AI323" s="13" t="n"/>
      <c r="AJ323" s="13" t="n"/>
      <c r="AK323" s="13" t="n"/>
      <c r="AL323" s="13" t="n"/>
      <c r="AM323" s="13" t="n"/>
      <c r="AN323" s="13" t="n"/>
      <c r="AO323" s="13" t="n"/>
      <c r="AP323" s="13" t="n"/>
      <c r="AQ323" s="13" t="n"/>
      <c r="AR323" s="13" t="n"/>
      <c r="AS323" s="13" t="n"/>
      <c r="AT323" s="13" t="n"/>
      <c r="AU323" s="13" t="n"/>
      <c r="AV323" s="13" t="n"/>
      <c r="AW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  <c r="AF324" s="13" t="n"/>
      <c r="AG324" s="13" t="n"/>
      <c r="AH324" s="13" t="n"/>
      <c r="AI324" s="13" t="n"/>
      <c r="AJ324" s="13" t="n"/>
      <c r="AK324" s="13" t="n"/>
      <c r="AL324" s="13" t="n"/>
      <c r="AM324" s="13" t="n"/>
      <c r="AN324" s="13" t="n"/>
      <c r="AO324" s="13" t="n"/>
      <c r="AP324" s="13" t="n"/>
      <c r="AQ324" s="13" t="n"/>
      <c r="AR324" s="13" t="n"/>
      <c r="AS324" s="13" t="n"/>
      <c r="AT324" s="13" t="n"/>
      <c r="AU324" s="13" t="n"/>
      <c r="AV324" s="13" t="n"/>
      <c r="AW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  <c r="AF325" s="13" t="n"/>
      <c r="AG325" s="13" t="n"/>
      <c r="AH325" s="13" t="n"/>
      <c r="AI325" s="13" t="n"/>
      <c r="AJ325" s="13" t="n"/>
      <c r="AK325" s="13" t="n"/>
      <c r="AL325" s="13" t="n"/>
      <c r="AM325" s="13" t="n"/>
      <c r="AN325" s="13" t="n"/>
      <c r="AO325" s="13" t="n"/>
      <c r="AP325" s="13" t="n"/>
      <c r="AQ325" s="13" t="n"/>
      <c r="AR325" s="13" t="n"/>
      <c r="AS325" s="13" t="n"/>
      <c r="AT325" s="13" t="n"/>
      <c r="AU325" s="13" t="n"/>
      <c r="AV325" s="13" t="n"/>
      <c r="AW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  <c r="AF326" s="13" t="n"/>
      <c r="AG326" s="13" t="n"/>
      <c r="AH326" s="13" t="n"/>
      <c r="AI326" s="13" t="n"/>
      <c r="AJ326" s="13" t="n"/>
      <c r="AK326" s="13" t="n"/>
      <c r="AL326" s="13" t="n"/>
      <c r="AM326" s="13" t="n"/>
      <c r="AN326" s="13" t="n"/>
      <c r="AO326" s="13" t="n"/>
      <c r="AP326" s="13" t="n"/>
      <c r="AQ326" s="13" t="n"/>
      <c r="AR326" s="13" t="n"/>
      <c r="AS326" s="13" t="n"/>
      <c r="AT326" s="13" t="n"/>
      <c r="AU326" s="13" t="n"/>
      <c r="AV326" s="13" t="n"/>
      <c r="AW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  <c r="AF327" s="13" t="n"/>
      <c r="AG327" s="13" t="n"/>
      <c r="AH327" s="13" t="n"/>
      <c r="AI327" s="13" t="n"/>
      <c r="AJ327" s="13" t="n"/>
      <c r="AK327" s="13" t="n"/>
      <c r="AL327" s="13" t="n"/>
      <c r="AM327" s="13" t="n"/>
      <c r="AN327" s="13" t="n"/>
      <c r="AO327" s="13" t="n"/>
      <c r="AP327" s="13" t="n"/>
      <c r="AQ327" s="13" t="n"/>
      <c r="AR327" s="13" t="n"/>
      <c r="AS327" s="13" t="n"/>
      <c r="AT327" s="13" t="n"/>
      <c r="AU327" s="13" t="n"/>
      <c r="AV327" s="13" t="n"/>
      <c r="AW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  <c r="AF328" s="13" t="n"/>
      <c r="AG328" s="13" t="n"/>
      <c r="AH328" s="13" t="n"/>
      <c r="AI328" s="13" t="n"/>
      <c r="AJ328" s="13" t="n"/>
      <c r="AK328" s="13" t="n"/>
      <c r="AL328" s="13" t="n"/>
      <c r="AM328" s="13" t="n"/>
      <c r="AN328" s="13" t="n"/>
      <c r="AO328" s="13" t="n"/>
      <c r="AP328" s="13" t="n"/>
      <c r="AQ328" s="13" t="n"/>
      <c r="AR328" s="13" t="n"/>
      <c r="AS328" s="13" t="n"/>
      <c r="AT328" s="13" t="n"/>
      <c r="AU328" s="13" t="n"/>
      <c r="AV328" s="13" t="n"/>
      <c r="AW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  <c r="AL329" s="13" t="n"/>
      <c r="AM329" s="13" t="n"/>
      <c r="AN329" s="13" t="n"/>
      <c r="AO329" s="13" t="n"/>
      <c r="AP329" s="13" t="n"/>
      <c r="AQ329" s="13" t="n"/>
      <c r="AR329" s="13" t="n"/>
      <c r="AS329" s="13" t="n"/>
      <c r="AT329" s="13" t="n"/>
      <c r="AU329" s="13" t="n"/>
      <c r="AV329" s="13" t="n"/>
      <c r="AW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  <c r="AF330" s="13" t="n"/>
      <c r="AG330" s="13" t="n"/>
      <c r="AH330" s="13" t="n"/>
      <c r="AI330" s="13" t="n"/>
      <c r="AJ330" s="13" t="n"/>
      <c r="AK330" s="13" t="n"/>
      <c r="AL330" s="13" t="n"/>
      <c r="AM330" s="13" t="n"/>
      <c r="AN330" s="13" t="n"/>
      <c r="AO330" s="13" t="n"/>
      <c r="AP330" s="13" t="n"/>
      <c r="AQ330" s="13" t="n"/>
      <c r="AR330" s="13" t="n"/>
      <c r="AS330" s="13" t="n"/>
      <c r="AT330" s="13" t="n"/>
      <c r="AU330" s="13" t="n"/>
      <c r="AV330" s="13" t="n"/>
      <c r="AW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  <c r="AF331" s="13" t="n"/>
      <c r="AG331" s="13" t="n"/>
      <c r="AH331" s="13" t="n"/>
      <c r="AI331" s="13" t="n"/>
      <c r="AJ331" s="13" t="n"/>
      <c r="AK331" s="13" t="n"/>
      <c r="AL331" s="13" t="n"/>
      <c r="AM331" s="13" t="n"/>
      <c r="AN331" s="13" t="n"/>
      <c r="AO331" s="13" t="n"/>
      <c r="AP331" s="13" t="n"/>
      <c r="AQ331" s="13" t="n"/>
      <c r="AR331" s="13" t="n"/>
      <c r="AS331" s="13" t="n"/>
      <c r="AT331" s="13" t="n"/>
      <c r="AU331" s="13" t="n"/>
      <c r="AV331" s="13" t="n"/>
      <c r="AW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  <c r="AF332" s="13" t="n"/>
      <c r="AG332" s="13" t="n"/>
      <c r="AH332" s="13" t="n"/>
      <c r="AI332" s="13" t="n"/>
      <c r="AJ332" s="13" t="n"/>
      <c r="AK332" s="13" t="n"/>
      <c r="AL332" s="13" t="n"/>
      <c r="AM332" s="13" t="n"/>
      <c r="AN332" s="13" t="n"/>
      <c r="AO332" s="13" t="n"/>
      <c r="AP332" s="13" t="n"/>
      <c r="AQ332" s="13" t="n"/>
      <c r="AR332" s="13" t="n"/>
      <c r="AS332" s="13" t="n"/>
      <c r="AT332" s="13" t="n"/>
      <c r="AU332" s="13" t="n"/>
      <c r="AV332" s="13" t="n"/>
      <c r="AW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  <c r="AL333" s="13" t="n"/>
      <c r="AM333" s="13" t="n"/>
      <c r="AN333" s="13" t="n"/>
      <c r="AO333" s="13" t="n"/>
      <c r="AP333" s="13" t="n"/>
      <c r="AQ333" s="13" t="n"/>
      <c r="AR333" s="13" t="n"/>
      <c r="AS333" s="13" t="n"/>
      <c r="AT333" s="13" t="n"/>
      <c r="AU333" s="13" t="n"/>
      <c r="AV333" s="13" t="n"/>
      <c r="AW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  <c r="AF334" s="13" t="n"/>
      <c r="AG334" s="13" t="n"/>
      <c r="AH334" s="13" t="n"/>
      <c r="AI334" s="13" t="n"/>
      <c r="AJ334" s="13" t="n"/>
      <c r="AK334" s="13" t="n"/>
      <c r="AL334" s="13" t="n"/>
      <c r="AM334" s="13" t="n"/>
      <c r="AN334" s="13" t="n"/>
      <c r="AO334" s="13" t="n"/>
      <c r="AP334" s="13" t="n"/>
      <c r="AQ334" s="13" t="n"/>
      <c r="AR334" s="13" t="n"/>
      <c r="AS334" s="13" t="n"/>
      <c r="AT334" s="13" t="n"/>
      <c r="AU334" s="13" t="n"/>
      <c r="AV334" s="13" t="n"/>
      <c r="AW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  <c r="AF335" s="13" t="n"/>
      <c r="AG335" s="13" t="n"/>
      <c r="AH335" s="13" t="n"/>
      <c r="AI335" s="13" t="n"/>
      <c r="AJ335" s="13" t="n"/>
      <c r="AK335" s="13" t="n"/>
      <c r="AL335" s="13" t="n"/>
      <c r="AM335" s="13" t="n"/>
      <c r="AN335" s="13" t="n"/>
      <c r="AO335" s="13" t="n"/>
      <c r="AP335" s="13" t="n"/>
      <c r="AQ335" s="13" t="n"/>
      <c r="AR335" s="13" t="n"/>
      <c r="AS335" s="13" t="n"/>
      <c r="AT335" s="13" t="n"/>
      <c r="AU335" s="13" t="n"/>
      <c r="AV335" s="13" t="n"/>
      <c r="AW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  <c r="AF336" s="13" t="n"/>
      <c r="AG336" s="13" t="n"/>
      <c r="AH336" s="13" t="n"/>
      <c r="AI336" s="13" t="n"/>
      <c r="AJ336" s="13" t="n"/>
      <c r="AK336" s="13" t="n"/>
      <c r="AL336" s="13" t="n"/>
      <c r="AM336" s="13" t="n"/>
      <c r="AN336" s="13" t="n"/>
      <c r="AO336" s="13" t="n"/>
      <c r="AP336" s="13" t="n"/>
      <c r="AQ336" s="13" t="n"/>
      <c r="AR336" s="13" t="n"/>
      <c r="AS336" s="13" t="n"/>
      <c r="AT336" s="13" t="n"/>
      <c r="AU336" s="13" t="n"/>
      <c r="AV336" s="13" t="n"/>
      <c r="AW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  <c r="AL337" s="13" t="n"/>
      <c r="AM337" s="13" t="n"/>
      <c r="AN337" s="13" t="n"/>
      <c r="AO337" s="13" t="n"/>
      <c r="AP337" s="13" t="n"/>
      <c r="AQ337" s="13" t="n"/>
      <c r="AR337" s="13" t="n"/>
      <c r="AS337" s="13" t="n"/>
      <c r="AT337" s="13" t="n"/>
      <c r="AU337" s="13" t="n"/>
      <c r="AV337" s="13" t="n"/>
      <c r="AW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  <c r="AF338" s="13" t="n"/>
      <c r="AG338" s="13" t="n"/>
      <c r="AH338" s="13" t="n"/>
      <c r="AI338" s="13" t="n"/>
      <c r="AJ338" s="13" t="n"/>
      <c r="AK338" s="13" t="n"/>
      <c r="AL338" s="13" t="n"/>
      <c r="AM338" s="13" t="n"/>
      <c r="AN338" s="13" t="n"/>
      <c r="AO338" s="13" t="n"/>
      <c r="AP338" s="13" t="n"/>
      <c r="AQ338" s="13" t="n"/>
      <c r="AR338" s="13" t="n"/>
      <c r="AS338" s="13" t="n"/>
      <c r="AT338" s="13" t="n"/>
      <c r="AU338" s="13" t="n"/>
      <c r="AV338" s="13" t="n"/>
      <c r="AW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  <c r="AF339" s="13" t="n"/>
      <c r="AG339" s="13" t="n"/>
      <c r="AH339" s="13" t="n"/>
      <c r="AI339" s="13" t="n"/>
      <c r="AJ339" s="13" t="n"/>
      <c r="AK339" s="13" t="n"/>
      <c r="AL339" s="13" t="n"/>
      <c r="AM339" s="13" t="n"/>
      <c r="AN339" s="13" t="n"/>
      <c r="AO339" s="13" t="n"/>
      <c r="AP339" s="13" t="n"/>
      <c r="AQ339" s="13" t="n"/>
      <c r="AR339" s="13" t="n"/>
      <c r="AS339" s="13" t="n"/>
      <c r="AT339" s="13" t="n"/>
      <c r="AU339" s="13" t="n"/>
      <c r="AV339" s="13" t="n"/>
      <c r="AW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  <c r="AF340" s="13" t="n"/>
      <c r="AG340" s="13" t="n"/>
      <c r="AH340" s="13" t="n"/>
      <c r="AI340" s="13" t="n"/>
      <c r="AJ340" s="13" t="n"/>
      <c r="AK340" s="13" t="n"/>
      <c r="AL340" s="13" t="n"/>
      <c r="AM340" s="13" t="n"/>
      <c r="AN340" s="13" t="n"/>
      <c r="AO340" s="13" t="n"/>
      <c r="AP340" s="13" t="n"/>
      <c r="AQ340" s="13" t="n"/>
      <c r="AR340" s="13" t="n"/>
      <c r="AS340" s="13" t="n"/>
      <c r="AT340" s="13" t="n"/>
      <c r="AU340" s="13" t="n"/>
      <c r="AV340" s="13" t="n"/>
      <c r="AW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  <c r="AL341" s="13" t="n"/>
      <c r="AM341" s="13" t="n"/>
      <c r="AN341" s="13" t="n"/>
      <c r="AO341" s="13" t="n"/>
      <c r="AP341" s="13" t="n"/>
      <c r="AQ341" s="13" t="n"/>
      <c r="AR341" s="13" t="n"/>
      <c r="AS341" s="13" t="n"/>
      <c r="AT341" s="13" t="n"/>
      <c r="AU341" s="13" t="n"/>
      <c r="AV341" s="13" t="n"/>
      <c r="AW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  <c r="AF342" s="13" t="n"/>
      <c r="AG342" s="13" t="n"/>
      <c r="AH342" s="13" t="n"/>
      <c r="AI342" s="13" t="n"/>
      <c r="AJ342" s="13" t="n"/>
      <c r="AK342" s="13" t="n"/>
      <c r="AL342" s="13" t="n"/>
      <c r="AM342" s="13" t="n"/>
      <c r="AN342" s="13" t="n"/>
      <c r="AO342" s="13" t="n"/>
      <c r="AP342" s="13" t="n"/>
      <c r="AQ342" s="13" t="n"/>
      <c r="AR342" s="13" t="n"/>
      <c r="AS342" s="13" t="n"/>
      <c r="AT342" s="13" t="n"/>
      <c r="AU342" s="13" t="n"/>
      <c r="AV342" s="13" t="n"/>
      <c r="AW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  <c r="AF343" s="13" t="n"/>
      <c r="AG343" s="13" t="n"/>
      <c r="AH343" s="13" t="n"/>
      <c r="AI343" s="13" t="n"/>
      <c r="AJ343" s="13" t="n"/>
      <c r="AK343" s="13" t="n"/>
      <c r="AL343" s="13" t="n"/>
      <c r="AM343" s="13" t="n"/>
      <c r="AN343" s="13" t="n"/>
      <c r="AO343" s="13" t="n"/>
      <c r="AP343" s="13" t="n"/>
      <c r="AQ343" s="13" t="n"/>
      <c r="AR343" s="13" t="n"/>
      <c r="AS343" s="13" t="n"/>
      <c r="AT343" s="13" t="n"/>
      <c r="AU343" s="13" t="n"/>
      <c r="AV343" s="13" t="n"/>
      <c r="AW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  <c r="AF344" s="13" t="n"/>
      <c r="AG344" s="13" t="n"/>
      <c r="AH344" s="13" t="n"/>
      <c r="AI344" s="13" t="n"/>
      <c r="AJ344" s="13" t="n"/>
      <c r="AK344" s="13" t="n"/>
      <c r="AL344" s="13" t="n"/>
      <c r="AM344" s="13" t="n"/>
      <c r="AN344" s="13" t="n"/>
      <c r="AO344" s="13" t="n"/>
      <c r="AP344" s="13" t="n"/>
      <c r="AQ344" s="13" t="n"/>
      <c r="AR344" s="13" t="n"/>
      <c r="AS344" s="13" t="n"/>
      <c r="AT344" s="13" t="n"/>
      <c r="AU344" s="13" t="n"/>
      <c r="AV344" s="13" t="n"/>
      <c r="AW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  <c r="AL345" s="13" t="n"/>
      <c r="AM345" s="13" t="n"/>
      <c r="AN345" s="13" t="n"/>
      <c r="AO345" s="13" t="n"/>
      <c r="AP345" s="13" t="n"/>
      <c r="AQ345" s="13" t="n"/>
      <c r="AR345" s="13" t="n"/>
      <c r="AS345" s="13" t="n"/>
      <c r="AT345" s="13" t="n"/>
      <c r="AU345" s="13" t="n"/>
      <c r="AV345" s="13" t="n"/>
      <c r="AW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  <c r="AF346" s="13" t="n"/>
      <c r="AG346" s="13" t="n"/>
      <c r="AH346" s="13" t="n"/>
      <c r="AI346" s="13" t="n"/>
      <c r="AJ346" s="13" t="n"/>
      <c r="AK346" s="13" t="n"/>
      <c r="AL346" s="13" t="n"/>
      <c r="AM346" s="13" t="n"/>
      <c r="AN346" s="13" t="n"/>
      <c r="AO346" s="13" t="n"/>
      <c r="AP346" s="13" t="n"/>
      <c r="AQ346" s="13" t="n"/>
      <c r="AR346" s="13" t="n"/>
      <c r="AS346" s="13" t="n"/>
      <c r="AT346" s="13" t="n"/>
      <c r="AU346" s="13" t="n"/>
      <c r="AV346" s="13" t="n"/>
      <c r="AW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  <c r="AF347" s="13" t="n"/>
      <c r="AG347" s="13" t="n"/>
      <c r="AH347" s="13" t="n"/>
      <c r="AI347" s="13" t="n"/>
      <c r="AJ347" s="13" t="n"/>
      <c r="AK347" s="13" t="n"/>
      <c r="AL347" s="13" t="n"/>
      <c r="AM347" s="13" t="n"/>
      <c r="AN347" s="13" t="n"/>
      <c r="AO347" s="13" t="n"/>
      <c r="AP347" s="13" t="n"/>
      <c r="AQ347" s="13" t="n"/>
      <c r="AR347" s="13" t="n"/>
      <c r="AS347" s="13" t="n"/>
      <c r="AT347" s="13" t="n"/>
      <c r="AU347" s="13" t="n"/>
      <c r="AV347" s="13" t="n"/>
      <c r="AW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  <c r="AF348" s="13" t="n"/>
      <c r="AG348" s="13" t="n"/>
      <c r="AH348" s="13" t="n"/>
      <c r="AI348" s="13" t="n"/>
      <c r="AJ348" s="13" t="n"/>
      <c r="AK348" s="13" t="n"/>
      <c r="AL348" s="13" t="n"/>
      <c r="AM348" s="13" t="n"/>
      <c r="AN348" s="13" t="n"/>
      <c r="AO348" s="13" t="n"/>
      <c r="AP348" s="13" t="n"/>
      <c r="AQ348" s="13" t="n"/>
      <c r="AR348" s="13" t="n"/>
      <c r="AS348" s="13" t="n"/>
      <c r="AT348" s="13" t="n"/>
      <c r="AU348" s="13" t="n"/>
      <c r="AV348" s="13" t="n"/>
      <c r="AW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  <c r="AL349" s="13" t="n"/>
      <c r="AM349" s="13" t="n"/>
      <c r="AN349" s="13" t="n"/>
      <c r="AO349" s="13" t="n"/>
      <c r="AP349" s="13" t="n"/>
      <c r="AQ349" s="13" t="n"/>
      <c r="AR349" s="13" t="n"/>
      <c r="AS349" s="13" t="n"/>
      <c r="AT349" s="13" t="n"/>
      <c r="AU349" s="13" t="n"/>
      <c r="AV349" s="13" t="n"/>
      <c r="AW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  <c r="AF350" s="13" t="n"/>
      <c r="AG350" s="13" t="n"/>
      <c r="AH350" s="13" t="n"/>
      <c r="AI350" s="13" t="n"/>
      <c r="AJ350" s="13" t="n"/>
      <c r="AK350" s="13" t="n"/>
      <c r="AL350" s="13" t="n"/>
      <c r="AM350" s="13" t="n"/>
      <c r="AN350" s="13" t="n"/>
      <c r="AO350" s="13" t="n"/>
      <c r="AP350" s="13" t="n"/>
      <c r="AQ350" s="13" t="n"/>
      <c r="AR350" s="13" t="n"/>
      <c r="AS350" s="13" t="n"/>
      <c r="AT350" s="13" t="n"/>
      <c r="AU350" s="13" t="n"/>
      <c r="AV350" s="13" t="n"/>
      <c r="AW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  <c r="AF351" s="13" t="n"/>
      <c r="AG351" s="13" t="n"/>
      <c r="AH351" s="13" t="n"/>
      <c r="AI351" s="13" t="n"/>
      <c r="AJ351" s="13" t="n"/>
      <c r="AK351" s="13" t="n"/>
      <c r="AL351" s="13" t="n"/>
      <c r="AM351" s="13" t="n"/>
      <c r="AN351" s="13" t="n"/>
      <c r="AO351" s="13" t="n"/>
      <c r="AP351" s="13" t="n"/>
      <c r="AQ351" s="13" t="n"/>
      <c r="AR351" s="13" t="n"/>
      <c r="AS351" s="13" t="n"/>
      <c r="AT351" s="13" t="n"/>
      <c r="AU351" s="13" t="n"/>
      <c r="AV351" s="13" t="n"/>
      <c r="AW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  <c r="AF352" s="13" t="n"/>
      <c r="AG352" s="13" t="n"/>
      <c r="AH352" s="13" t="n"/>
      <c r="AI352" s="13" t="n"/>
      <c r="AJ352" s="13" t="n"/>
      <c r="AK352" s="13" t="n"/>
      <c r="AL352" s="13" t="n"/>
      <c r="AM352" s="13" t="n"/>
      <c r="AN352" s="13" t="n"/>
      <c r="AO352" s="13" t="n"/>
      <c r="AP352" s="13" t="n"/>
      <c r="AQ352" s="13" t="n"/>
      <c r="AR352" s="13" t="n"/>
      <c r="AS352" s="13" t="n"/>
      <c r="AT352" s="13" t="n"/>
      <c r="AU352" s="13" t="n"/>
      <c r="AV352" s="13" t="n"/>
      <c r="AW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  <c r="AL353" s="13" t="n"/>
      <c r="AM353" s="13" t="n"/>
      <c r="AN353" s="13" t="n"/>
      <c r="AO353" s="13" t="n"/>
      <c r="AP353" s="13" t="n"/>
      <c r="AQ353" s="13" t="n"/>
      <c r="AR353" s="13" t="n"/>
      <c r="AS353" s="13" t="n"/>
      <c r="AT353" s="13" t="n"/>
      <c r="AU353" s="13" t="n"/>
      <c r="AV353" s="13" t="n"/>
      <c r="AW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  <c r="AF354" s="13" t="n"/>
      <c r="AG354" s="13" t="n"/>
      <c r="AH354" s="13" t="n"/>
      <c r="AI354" s="13" t="n"/>
      <c r="AJ354" s="13" t="n"/>
      <c r="AK354" s="13" t="n"/>
      <c r="AL354" s="13" t="n"/>
      <c r="AM354" s="13" t="n"/>
      <c r="AN354" s="13" t="n"/>
      <c r="AO354" s="13" t="n"/>
      <c r="AP354" s="13" t="n"/>
      <c r="AQ354" s="13" t="n"/>
      <c r="AR354" s="13" t="n"/>
      <c r="AS354" s="13" t="n"/>
      <c r="AT354" s="13" t="n"/>
      <c r="AU354" s="13" t="n"/>
      <c r="AV354" s="13" t="n"/>
      <c r="AW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  <c r="AF355" s="13" t="n"/>
      <c r="AG355" s="13" t="n"/>
      <c r="AH355" s="13" t="n"/>
      <c r="AI355" s="13" t="n"/>
      <c r="AJ355" s="13" t="n"/>
      <c r="AK355" s="13" t="n"/>
      <c r="AL355" s="13" t="n"/>
      <c r="AM355" s="13" t="n"/>
      <c r="AN355" s="13" t="n"/>
      <c r="AO355" s="13" t="n"/>
      <c r="AP355" s="13" t="n"/>
      <c r="AQ355" s="13" t="n"/>
      <c r="AR355" s="13" t="n"/>
      <c r="AS355" s="13" t="n"/>
      <c r="AT355" s="13" t="n"/>
      <c r="AU355" s="13" t="n"/>
      <c r="AV355" s="13" t="n"/>
      <c r="AW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  <c r="AF356" s="13" t="n"/>
      <c r="AG356" s="13" t="n"/>
      <c r="AH356" s="13" t="n"/>
      <c r="AI356" s="13" t="n"/>
      <c r="AJ356" s="13" t="n"/>
      <c r="AK356" s="13" t="n"/>
      <c r="AL356" s="13" t="n"/>
      <c r="AM356" s="13" t="n"/>
      <c r="AN356" s="13" t="n"/>
      <c r="AO356" s="13" t="n"/>
      <c r="AP356" s="13" t="n"/>
      <c r="AQ356" s="13" t="n"/>
      <c r="AR356" s="13" t="n"/>
      <c r="AS356" s="13" t="n"/>
      <c r="AT356" s="13" t="n"/>
      <c r="AU356" s="13" t="n"/>
      <c r="AV356" s="13" t="n"/>
      <c r="AW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  <c r="AL357" s="13" t="n"/>
      <c r="AM357" s="13" t="n"/>
      <c r="AN357" s="13" t="n"/>
      <c r="AO357" s="13" t="n"/>
      <c r="AP357" s="13" t="n"/>
      <c r="AQ357" s="13" t="n"/>
      <c r="AR357" s="13" t="n"/>
      <c r="AS357" s="13" t="n"/>
      <c r="AT357" s="13" t="n"/>
      <c r="AU357" s="13" t="n"/>
      <c r="AV357" s="13" t="n"/>
      <c r="AW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  <c r="AF358" s="13" t="n"/>
      <c r="AG358" s="13" t="n"/>
      <c r="AH358" s="13" t="n"/>
      <c r="AI358" s="13" t="n"/>
      <c r="AJ358" s="13" t="n"/>
      <c r="AK358" s="13" t="n"/>
      <c r="AL358" s="13" t="n"/>
      <c r="AM358" s="13" t="n"/>
      <c r="AN358" s="13" t="n"/>
      <c r="AO358" s="13" t="n"/>
      <c r="AP358" s="13" t="n"/>
      <c r="AQ358" s="13" t="n"/>
      <c r="AR358" s="13" t="n"/>
      <c r="AS358" s="13" t="n"/>
      <c r="AT358" s="13" t="n"/>
      <c r="AU358" s="13" t="n"/>
      <c r="AV358" s="13" t="n"/>
      <c r="AW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  <c r="AF359" s="13" t="n"/>
      <c r="AG359" s="13" t="n"/>
      <c r="AH359" s="13" t="n"/>
      <c r="AI359" s="13" t="n"/>
      <c r="AJ359" s="13" t="n"/>
      <c r="AK359" s="13" t="n"/>
      <c r="AL359" s="13" t="n"/>
      <c r="AM359" s="13" t="n"/>
      <c r="AN359" s="13" t="n"/>
      <c r="AO359" s="13" t="n"/>
      <c r="AP359" s="13" t="n"/>
      <c r="AQ359" s="13" t="n"/>
      <c r="AR359" s="13" t="n"/>
      <c r="AS359" s="13" t="n"/>
      <c r="AT359" s="13" t="n"/>
      <c r="AU359" s="13" t="n"/>
      <c r="AV359" s="13" t="n"/>
      <c r="AW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  <c r="AF360" s="13" t="n"/>
      <c r="AG360" s="13" t="n"/>
      <c r="AH360" s="13" t="n"/>
      <c r="AI360" s="13" t="n"/>
      <c r="AJ360" s="13" t="n"/>
      <c r="AK360" s="13" t="n"/>
      <c r="AL360" s="13" t="n"/>
      <c r="AM360" s="13" t="n"/>
      <c r="AN360" s="13" t="n"/>
      <c r="AO360" s="13" t="n"/>
      <c r="AP360" s="13" t="n"/>
      <c r="AQ360" s="13" t="n"/>
      <c r="AR360" s="13" t="n"/>
      <c r="AS360" s="13" t="n"/>
      <c r="AT360" s="13" t="n"/>
      <c r="AU360" s="13" t="n"/>
      <c r="AV360" s="13" t="n"/>
      <c r="AW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  <c r="AL361" s="13" t="n"/>
      <c r="AM361" s="13" t="n"/>
      <c r="AN361" s="13" t="n"/>
      <c r="AO361" s="13" t="n"/>
      <c r="AP361" s="13" t="n"/>
      <c r="AQ361" s="13" t="n"/>
      <c r="AR361" s="13" t="n"/>
      <c r="AS361" s="13" t="n"/>
      <c r="AT361" s="13" t="n"/>
      <c r="AU361" s="13" t="n"/>
      <c r="AV361" s="13" t="n"/>
      <c r="AW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  <c r="AF362" s="13" t="n"/>
      <c r="AG362" s="13" t="n"/>
      <c r="AH362" s="13" t="n"/>
      <c r="AI362" s="13" t="n"/>
      <c r="AJ362" s="13" t="n"/>
      <c r="AK362" s="13" t="n"/>
      <c r="AL362" s="13" t="n"/>
      <c r="AM362" s="13" t="n"/>
      <c r="AN362" s="13" t="n"/>
      <c r="AO362" s="13" t="n"/>
      <c r="AP362" s="13" t="n"/>
      <c r="AQ362" s="13" t="n"/>
      <c r="AR362" s="13" t="n"/>
      <c r="AS362" s="13" t="n"/>
      <c r="AT362" s="13" t="n"/>
      <c r="AU362" s="13" t="n"/>
      <c r="AV362" s="13" t="n"/>
      <c r="AW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  <c r="AF363" s="13" t="n"/>
      <c r="AG363" s="13" t="n"/>
      <c r="AH363" s="13" t="n"/>
      <c r="AI363" s="13" t="n"/>
      <c r="AJ363" s="13" t="n"/>
      <c r="AK363" s="13" t="n"/>
      <c r="AL363" s="13" t="n"/>
      <c r="AM363" s="13" t="n"/>
      <c r="AN363" s="13" t="n"/>
      <c r="AO363" s="13" t="n"/>
      <c r="AP363" s="13" t="n"/>
      <c r="AQ363" s="13" t="n"/>
      <c r="AR363" s="13" t="n"/>
      <c r="AS363" s="13" t="n"/>
      <c r="AT363" s="13" t="n"/>
      <c r="AU363" s="13" t="n"/>
      <c r="AV363" s="13" t="n"/>
      <c r="AW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  <c r="AF364" s="13" t="n"/>
      <c r="AG364" s="13" t="n"/>
      <c r="AH364" s="13" t="n"/>
      <c r="AI364" s="13" t="n"/>
      <c r="AJ364" s="13" t="n"/>
      <c r="AK364" s="13" t="n"/>
      <c r="AL364" s="13" t="n"/>
      <c r="AM364" s="13" t="n"/>
      <c r="AN364" s="13" t="n"/>
      <c r="AO364" s="13" t="n"/>
      <c r="AP364" s="13" t="n"/>
      <c r="AQ364" s="13" t="n"/>
      <c r="AR364" s="13" t="n"/>
      <c r="AS364" s="13" t="n"/>
      <c r="AT364" s="13" t="n"/>
      <c r="AU364" s="13" t="n"/>
      <c r="AV364" s="13" t="n"/>
      <c r="AW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  <c r="AL365" s="13" t="n"/>
      <c r="AM365" s="13" t="n"/>
      <c r="AN365" s="13" t="n"/>
      <c r="AO365" s="13" t="n"/>
      <c r="AP365" s="13" t="n"/>
      <c r="AQ365" s="13" t="n"/>
      <c r="AR365" s="13" t="n"/>
      <c r="AS365" s="13" t="n"/>
      <c r="AT365" s="13" t="n"/>
      <c r="AU365" s="13" t="n"/>
      <c r="AV365" s="13" t="n"/>
      <c r="AW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  <c r="AF366" s="13" t="n"/>
      <c r="AG366" s="13" t="n"/>
      <c r="AH366" s="13" t="n"/>
      <c r="AI366" s="13" t="n"/>
      <c r="AJ366" s="13" t="n"/>
      <c r="AK366" s="13" t="n"/>
      <c r="AL366" s="13" t="n"/>
      <c r="AM366" s="13" t="n"/>
      <c r="AN366" s="13" t="n"/>
      <c r="AO366" s="13" t="n"/>
      <c r="AP366" s="13" t="n"/>
      <c r="AQ366" s="13" t="n"/>
      <c r="AR366" s="13" t="n"/>
      <c r="AS366" s="13" t="n"/>
      <c r="AT366" s="13" t="n"/>
      <c r="AU366" s="13" t="n"/>
      <c r="AV366" s="13" t="n"/>
      <c r="AW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  <c r="AF367" s="13" t="n"/>
      <c r="AG367" s="13" t="n"/>
      <c r="AH367" s="13" t="n"/>
      <c r="AI367" s="13" t="n"/>
      <c r="AJ367" s="13" t="n"/>
      <c r="AK367" s="13" t="n"/>
      <c r="AL367" s="13" t="n"/>
      <c r="AM367" s="13" t="n"/>
      <c r="AN367" s="13" t="n"/>
      <c r="AO367" s="13" t="n"/>
      <c r="AP367" s="13" t="n"/>
      <c r="AQ367" s="13" t="n"/>
      <c r="AR367" s="13" t="n"/>
      <c r="AS367" s="13" t="n"/>
      <c r="AT367" s="13" t="n"/>
      <c r="AU367" s="13" t="n"/>
      <c r="AV367" s="13" t="n"/>
      <c r="AW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  <c r="AF368" s="13" t="n"/>
      <c r="AG368" s="13" t="n"/>
      <c r="AH368" s="13" t="n"/>
      <c r="AI368" s="13" t="n"/>
      <c r="AJ368" s="13" t="n"/>
      <c r="AK368" s="13" t="n"/>
      <c r="AL368" s="13" t="n"/>
      <c r="AM368" s="13" t="n"/>
      <c r="AN368" s="13" t="n"/>
      <c r="AO368" s="13" t="n"/>
      <c r="AP368" s="13" t="n"/>
      <c r="AQ368" s="13" t="n"/>
      <c r="AR368" s="13" t="n"/>
      <c r="AS368" s="13" t="n"/>
      <c r="AT368" s="13" t="n"/>
      <c r="AU368" s="13" t="n"/>
      <c r="AV368" s="13" t="n"/>
      <c r="AW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  <c r="AF369" s="13" t="n"/>
      <c r="AG369" s="13" t="n"/>
      <c r="AH369" s="13" t="n"/>
      <c r="AI369" s="13" t="n"/>
      <c r="AJ369" s="13" t="n"/>
      <c r="AK369" s="13" t="n"/>
      <c r="AL369" s="13" t="n"/>
      <c r="AM369" s="13" t="n"/>
      <c r="AN369" s="13" t="n"/>
      <c r="AO369" s="13" t="n"/>
      <c r="AP369" s="13" t="n"/>
      <c r="AQ369" s="13" t="n"/>
      <c r="AR369" s="13" t="n"/>
      <c r="AS369" s="13" t="n"/>
      <c r="AT369" s="13" t="n"/>
      <c r="AU369" s="13" t="n"/>
      <c r="AV369" s="13" t="n"/>
      <c r="AW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  <c r="AF370" s="13" t="n"/>
      <c r="AG370" s="13" t="n"/>
      <c r="AH370" s="13" t="n"/>
      <c r="AI370" s="13" t="n"/>
      <c r="AJ370" s="13" t="n"/>
      <c r="AK370" s="13" t="n"/>
      <c r="AL370" s="13" t="n"/>
      <c r="AM370" s="13" t="n"/>
      <c r="AN370" s="13" t="n"/>
      <c r="AO370" s="13" t="n"/>
      <c r="AP370" s="13" t="n"/>
      <c r="AQ370" s="13" t="n"/>
      <c r="AR370" s="13" t="n"/>
      <c r="AS370" s="13" t="n"/>
      <c r="AT370" s="13" t="n"/>
      <c r="AU370" s="13" t="n"/>
      <c r="AV370" s="13" t="n"/>
      <c r="AW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  <c r="AF371" s="13" t="n"/>
      <c r="AG371" s="13" t="n"/>
      <c r="AH371" s="13" t="n"/>
      <c r="AI371" s="13" t="n"/>
      <c r="AJ371" s="13" t="n"/>
      <c r="AK371" s="13" t="n"/>
      <c r="AL371" s="13" t="n"/>
      <c r="AM371" s="13" t="n"/>
      <c r="AN371" s="13" t="n"/>
      <c r="AO371" s="13" t="n"/>
      <c r="AP371" s="13" t="n"/>
      <c r="AQ371" s="13" t="n"/>
      <c r="AR371" s="13" t="n"/>
      <c r="AS371" s="13" t="n"/>
      <c r="AT371" s="13" t="n"/>
      <c r="AU371" s="13" t="n"/>
      <c r="AV371" s="13" t="n"/>
      <c r="AW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  <c r="AF372" s="13" t="n"/>
      <c r="AG372" s="13" t="n"/>
      <c r="AH372" s="13" t="n"/>
      <c r="AI372" s="13" t="n"/>
      <c r="AJ372" s="13" t="n"/>
      <c r="AK372" s="13" t="n"/>
      <c r="AL372" s="13" t="n"/>
      <c r="AM372" s="13" t="n"/>
      <c r="AN372" s="13" t="n"/>
      <c r="AO372" s="13" t="n"/>
      <c r="AP372" s="13" t="n"/>
      <c r="AQ372" s="13" t="n"/>
      <c r="AR372" s="13" t="n"/>
      <c r="AS372" s="13" t="n"/>
      <c r="AT372" s="13" t="n"/>
      <c r="AU372" s="13" t="n"/>
      <c r="AV372" s="13" t="n"/>
      <c r="AW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  <c r="AF373" s="13" t="n"/>
      <c r="AG373" s="13" t="n"/>
      <c r="AH373" s="13" t="n"/>
      <c r="AI373" s="13" t="n"/>
      <c r="AJ373" s="13" t="n"/>
      <c r="AK373" s="13" t="n"/>
      <c r="AL373" s="13" t="n"/>
      <c r="AM373" s="13" t="n"/>
      <c r="AN373" s="13" t="n"/>
      <c r="AO373" s="13" t="n"/>
      <c r="AP373" s="13" t="n"/>
      <c r="AQ373" s="13" t="n"/>
      <c r="AR373" s="13" t="n"/>
      <c r="AS373" s="13" t="n"/>
      <c r="AT373" s="13" t="n"/>
      <c r="AU373" s="13" t="n"/>
      <c r="AV373" s="13" t="n"/>
      <c r="AW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  <c r="AF374" s="13" t="n"/>
      <c r="AG374" s="13" t="n"/>
      <c r="AH374" s="13" t="n"/>
      <c r="AI374" s="13" t="n"/>
      <c r="AJ374" s="13" t="n"/>
      <c r="AK374" s="13" t="n"/>
      <c r="AL374" s="13" t="n"/>
      <c r="AM374" s="13" t="n"/>
      <c r="AN374" s="13" t="n"/>
      <c r="AO374" s="13" t="n"/>
      <c r="AP374" s="13" t="n"/>
      <c r="AQ374" s="13" t="n"/>
      <c r="AR374" s="13" t="n"/>
      <c r="AS374" s="13" t="n"/>
      <c r="AT374" s="13" t="n"/>
      <c r="AU374" s="13" t="n"/>
      <c r="AV374" s="13" t="n"/>
      <c r="AW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  <c r="AL375" s="13" t="n"/>
      <c r="AM375" s="13" t="n"/>
      <c r="AN375" s="13" t="n"/>
      <c r="AO375" s="13" t="n"/>
      <c r="AP375" s="13" t="n"/>
      <c r="AQ375" s="13" t="n"/>
      <c r="AR375" s="13" t="n"/>
      <c r="AS375" s="13" t="n"/>
      <c r="AT375" s="13" t="n"/>
      <c r="AU375" s="13" t="n"/>
      <c r="AV375" s="13" t="n"/>
      <c r="AW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  <c r="AF376" s="13" t="n"/>
      <c r="AG376" s="13" t="n"/>
      <c r="AH376" s="13" t="n"/>
      <c r="AI376" s="13" t="n"/>
      <c r="AJ376" s="13" t="n"/>
      <c r="AK376" s="13" t="n"/>
      <c r="AL376" s="13" t="n"/>
      <c r="AM376" s="13" t="n"/>
      <c r="AN376" s="13" t="n"/>
      <c r="AO376" s="13" t="n"/>
      <c r="AP376" s="13" t="n"/>
      <c r="AQ376" s="13" t="n"/>
      <c r="AR376" s="13" t="n"/>
      <c r="AS376" s="13" t="n"/>
      <c r="AT376" s="13" t="n"/>
      <c r="AU376" s="13" t="n"/>
      <c r="AV376" s="13" t="n"/>
      <c r="AW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  <c r="AF377" s="13" t="n"/>
      <c r="AG377" s="13" t="n"/>
      <c r="AH377" s="13" t="n"/>
      <c r="AI377" s="13" t="n"/>
      <c r="AJ377" s="13" t="n"/>
      <c r="AK377" s="13" t="n"/>
      <c r="AL377" s="13" t="n"/>
      <c r="AM377" s="13" t="n"/>
      <c r="AN377" s="13" t="n"/>
      <c r="AO377" s="13" t="n"/>
      <c r="AP377" s="13" t="n"/>
      <c r="AQ377" s="13" t="n"/>
      <c r="AR377" s="13" t="n"/>
      <c r="AS377" s="13" t="n"/>
      <c r="AT377" s="13" t="n"/>
      <c r="AU377" s="13" t="n"/>
      <c r="AV377" s="13" t="n"/>
      <c r="AW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  <c r="AF378" s="13" t="n"/>
      <c r="AG378" s="13" t="n"/>
      <c r="AH378" s="13" t="n"/>
      <c r="AI378" s="13" t="n"/>
      <c r="AJ378" s="13" t="n"/>
      <c r="AK378" s="13" t="n"/>
      <c r="AL378" s="13" t="n"/>
      <c r="AM378" s="13" t="n"/>
      <c r="AN378" s="13" t="n"/>
      <c r="AO378" s="13" t="n"/>
      <c r="AP378" s="13" t="n"/>
      <c r="AQ378" s="13" t="n"/>
      <c r="AR378" s="13" t="n"/>
      <c r="AS378" s="13" t="n"/>
      <c r="AT378" s="13" t="n"/>
      <c r="AU378" s="13" t="n"/>
      <c r="AV378" s="13" t="n"/>
      <c r="AW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  <c r="AL379" s="13" t="n"/>
      <c r="AM379" s="13" t="n"/>
      <c r="AN379" s="13" t="n"/>
      <c r="AO379" s="13" t="n"/>
      <c r="AP379" s="13" t="n"/>
      <c r="AQ379" s="13" t="n"/>
      <c r="AR379" s="13" t="n"/>
      <c r="AS379" s="13" t="n"/>
      <c r="AT379" s="13" t="n"/>
      <c r="AU379" s="13" t="n"/>
      <c r="AV379" s="13" t="n"/>
      <c r="AW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  <c r="AF380" s="13" t="n"/>
      <c r="AG380" s="13" t="n"/>
      <c r="AH380" s="13" t="n"/>
      <c r="AI380" s="13" t="n"/>
      <c r="AJ380" s="13" t="n"/>
      <c r="AK380" s="13" t="n"/>
      <c r="AL380" s="13" t="n"/>
      <c r="AM380" s="13" t="n"/>
      <c r="AN380" s="13" t="n"/>
      <c r="AO380" s="13" t="n"/>
      <c r="AP380" s="13" t="n"/>
      <c r="AQ380" s="13" t="n"/>
      <c r="AR380" s="13" t="n"/>
      <c r="AS380" s="13" t="n"/>
      <c r="AT380" s="13" t="n"/>
      <c r="AU380" s="13" t="n"/>
      <c r="AV380" s="13" t="n"/>
      <c r="AW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  <c r="AF381" s="13" t="n"/>
      <c r="AG381" s="13" t="n"/>
      <c r="AH381" s="13" t="n"/>
      <c r="AI381" s="13" t="n"/>
      <c r="AJ381" s="13" t="n"/>
      <c r="AK381" s="13" t="n"/>
      <c r="AL381" s="13" t="n"/>
      <c r="AM381" s="13" t="n"/>
      <c r="AN381" s="13" t="n"/>
      <c r="AO381" s="13" t="n"/>
      <c r="AP381" s="13" t="n"/>
      <c r="AQ381" s="13" t="n"/>
      <c r="AR381" s="13" t="n"/>
      <c r="AS381" s="13" t="n"/>
      <c r="AT381" s="13" t="n"/>
      <c r="AU381" s="13" t="n"/>
      <c r="AV381" s="13" t="n"/>
      <c r="AW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  <c r="AF382" s="13" t="n"/>
      <c r="AG382" s="13" t="n"/>
      <c r="AH382" s="13" t="n"/>
      <c r="AI382" s="13" t="n"/>
      <c r="AJ382" s="13" t="n"/>
      <c r="AK382" s="13" t="n"/>
      <c r="AL382" s="13" t="n"/>
      <c r="AM382" s="13" t="n"/>
      <c r="AN382" s="13" t="n"/>
      <c r="AO382" s="13" t="n"/>
      <c r="AP382" s="13" t="n"/>
      <c r="AQ382" s="13" t="n"/>
      <c r="AR382" s="13" t="n"/>
      <c r="AS382" s="13" t="n"/>
      <c r="AT382" s="13" t="n"/>
      <c r="AU382" s="13" t="n"/>
      <c r="AV382" s="13" t="n"/>
      <c r="AW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  <c r="AL383" s="13" t="n"/>
      <c r="AM383" s="13" t="n"/>
      <c r="AN383" s="13" t="n"/>
      <c r="AO383" s="13" t="n"/>
      <c r="AP383" s="13" t="n"/>
      <c r="AQ383" s="13" t="n"/>
      <c r="AR383" s="13" t="n"/>
      <c r="AS383" s="13" t="n"/>
      <c r="AT383" s="13" t="n"/>
      <c r="AU383" s="13" t="n"/>
      <c r="AV383" s="13" t="n"/>
      <c r="AW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  <c r="AF384" s="13" t="n"/>
      <c r="AG384" s="13" t="n"/>
      <c r="AH384" s="13" t="n"/>
      <c r="AI384" s="13" t="n"/>
      <c r="AJ384" s="13" t="n"/>
      <c r="AK384" s="13" t="n"/>
      <c r="AL384" s="13" t="n"/>
      <c r="AM384" s="13" t="n"/>
      <c r="AN384" s="13" t="n"/>
      <c r="AO384" s="13" t="n"/>
      <c r="AP384" s="13" t="n"/>
      <c r="AQ384" s="13" t="n"/>
      <c r="AR384" s="13" t="n"/>
      <c r="AS384" s="13" t="n"/>
      <c r="AT384" s="13" t="n"/>
      <c r="AU384" s="13" t="n"/>
      <c r="AV384" s="13" t="n"/>
      <c r="AW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  <c r="AF385" s="13" t="n"/>
      <c r="AG385" s="13" t="n"/>
      <c r="AH385" s="13" t="n"/>
      <c r="AI385" s="13" t="n"/>
      <c r="AJ385" s="13" t="n"/>
      <c r="AK385" s="13" t="n"/>
      <c r="AL385" s="13" t="n"/>
      <c r="AM385" s="13" t="n"/>
      <c r="AN385" s="13" t="n"/>
      <c r="AO385" s="13" t="n"/>
      <c r="AP385" s="13" t="n"/>
      <c r="AQ385" s="13" t="n"/>
      <c r="AR385" s="13" t="n"/>
      <c r="AS385" s="13" t="n"/>
      <c r="AT385" s="13" t="n"/>
      <c r="AU385" s="13" t="n"/>
      <c r="AV385" s="13" t="n"/>
      <c r="AW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  <c r="AF386" s="13" t="n"/>
      <c r="AG386" s="13" t="n"/>
      <c r="AH386" s="13" t="n"/>
      <c r="AI386" s="13" t="n"/>
      <c r="AJ386" s="13" t="n"/>
      <c r="AK386" s="13" t="n"/>
      <c r="AL386" s="13" t="n"/>
      <c r="AM386" s="13" t="n"/>
      <c r="AN386" s="13" t="n"/>
      <c r="AO386" s="13" t="n"/>
      <c r="AP386" s="13" t="n"/>
      <c r="AQ386" s="13" t="n"/>
      <c r="AR386" s="13" t="n"/>
      <c r="AS386" s="13" t="n"/>
      <c r="AT386" s="13" t="n"/>
      <c r="AU386" s="13" t="n"/>
      <c r="AV386" s="13" t="n"/>
      <c r="AW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  <c r="AL387" s="13" t="n"/>
      <c r="AM387" s="13" t="n"/>
      <c r="AN387" s="13" t="n"/>
      <c r="AO387" s="13" t="n"/>
      <c r="AP387" s="13" t="n"/>
      <c r="AQ387" s="13" t="n"/>
      <c r="AR387" s="13" t="n"/>
      <c r="AS387" s="13" t="n"/>
      <c r="AT387" s="13" t="n"/>
      <c r="AU387" s="13" t="n"/>
      <c r="AV387" s="13" t="n"/>
      <c r="AW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  <c r="AF388" s="13" t="n"/>
      <c r="AG388" s="13" t="n"/>
      <c r="AH388" s="13" t="n"/>
      <c r="AI388" s="13" t="n"/>
      <c r="AJ388" s="13" t="n"/>
      <c r="AK388" s="13" t="n"/>
      <c r="AL388" s="13" t="n"/>
      <c r="AM388" s="13" t="n"/>
      <c r="AN388" s="13" t="n"/>
      <c r="AO388" s="13" t="n"/>
      <c r="AP388" s="13" t="n"/>
      <c r="AQ388" s="13" t="n"/>
      <c r="AR388" s="13" t="n"/>
      <c r="AS388" s="13" t="n"/>
      <c r="AT388" s="13" t="n"/>
      <c r="AU388" s="13" t="n"/>
      <c r="AV388" s="13" t="n"/>
      <c r="AW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  <c r="AF389" s="13" t="n"/>
      <c r="AG389" s="13" t="n"/>
      <c r="AH389" s="13" t="n"/>
      <c r="AI389" s="13" t="n"/>
      <c r="AJ389" s="13" t="n"/>
      <c r="AK389" s="13" t="n"/>
      <c r="AL389" s="13" t="n"/>
      <c r="AM389" s="13" t="n"/>
      <c r="AN389" s="13" t="n"/>
      <c r="AO389" s="13" t="n"/>
      <c r="AP389" s="13" t="n"/>
      <c r="AQ389" s="13" t="n"/>
      <c r="AR389" s="13" t="n"/>
      <c r="AS389" s="13" t="n"/>
      <c r="AT389" s="13" t="n"/>
      <c r="AU389" s="13" t="n"/>
      <c r="AV389" s="13" t="n"/>
      <c r="AW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  <c r="AF390" s="13" t="n"/>
      <c r="AG390" s="13" t="n"/>
      <c r="AH390" s="13" t="n"/>
      <c r="AI390" s="13" t="n"/>
      <c r="AJ390" s="13" t="n"/>
      <c r="AK390" s="13" t="n"/>
      <c r="AL390" s="13" t="n"/>
      <c r="AM390" s="13" t="n"/>
      <c r="AN390" s="13" t="n"/>
      <c r="AO390" s="13" t="n"/>
      <c r="AP390" s="13" t="n"/>
      <c r="AQ390" s="13" t="n"/>
      <c r="AR390" s="13" t="n"/>
      <c r="AS390" s="13" t="n"/>
      <c r="AT390" s="13" t="n"/>
      <c r="AU390" s="13" t="n"/>
      <c r="AV390" s="13" t="n"/>
      <c r="AW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  <c r="AL391" s="13" t="n"/>
      <c r="AM391" s="13" t="n"/>
      <c r="AN391" s="13" t="n"/>
      <c r="AO391" s="13" t="n"/>
      <c r="AP391" s="13" t="n"/>
      <c r="AQ391" s="13" t="n"/>
      <c r="AR391" s="13" t="n"/>
      <c r="AS391" s="13" t="n"/>
      <c r="AT391" s="13" t="n"/>
      <c r="AU391" s="13" t="n"/>
      <c r="AV391" s="13" t="n"/>
      <c r="AW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  <c r="AF392" s="13" t="n"/>
      <c r="AG392" s="13" t="n"/>
      <c r="AH392" s="13" t="n"/>
      <c r="AI392" s="13" t="n"/>
      <c r="AJ392" s="13" t="n"/>
      <c r="AK392" s="13" t="n"/>
      <c r="AL392" s="13" t="n"/>
      <c r="AM392" s="13" t="n"/>
      <c r="AN392" s="13" t="n"/>
      <c r="AO392" s="13" t="n"/>
      <c r="AP392" s="13" t="n"/>
      <c r="AQ392" s="13" t="n"/>
      <c r="AR392" s="13" t="n"/>
      <c r="AS392" s="13" t="n"/>
      <c r="AT392" s="13" t="n"/>
      <c r="AU392" s="13" t="n"/>
      <c r="AV392" s="13" t="n"/>
      <c r="AW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  <c r="AF393" s="13" t="n"/>
      <c r="AG393" s="13" t="n"/>
      <c r="AH393" s="13" t="n"/>
      <c r="AI393" s="13" t="n"/>
      <c r="AJ393" s="13" t="n"/>
      <c r="AK393" s="13" t="n"/>
      <c r="AL393" s="13" t="n"/>
      <c r="AM393" s="13" t="n"/>
      <c r="AN393" s="13" t="n"/>
      <c r="AO393" s="13" t="n"/>
      <c r="AP393" s="13" t="n"/>
      <c r="AQ393" s="13" t="n"/>
      <c r="AR393" s="13" t="n"/>
      <c r="AS393" s="13" t="n"/>
      <c r="AT393" s="13" t="n"/>
      <c r="AU393" s="13" t="n"/>
      <c r="AV393" s="13" t="n"/>
      <c r="AW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n"/>
      <c r="AI394" s="13" t="n"/>
      <c r="AJ394" s="13" t="n"/>
      <c r="AK394" s="13" t="n"/>
      <c r="AL394" s="13" t="n"/>
      <c r="AM394" s="13" t="n"/>
      <c r="AN394" s="13" t="n"/>
      <c r="AO394" s="13" t="n"/>
      <c r="AP394" s="13" t="n"/>
      <c r="AQ394" s="13" t="n"/>
      <c r="AR394" s="13" t="n"/>
      <c r="AS394" s="13" t="n"/>
      <c r="AT394" s="13" t="n"/>
      <c r="AU394" s="13" t="n"/>
      <c r="AV394" s="13" t="n"/>
      <c r="AW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  <c r="AL395" s="13" t="n"/>
      <c r="AM395" s="13" t="n"/>
      <c r="AN395" s="13" t="n"/>
      <c r="AO395" s="13" t="n"/>
      <c r="AP395" s="13" t="n"/>
      <c r="AQ395" s="13" t="n"/>
      <c r="AR395" s="13" t="n"/>
      <c r="AS395" s="13" t="n"/>
      <c r="AT395" s="13" t="n"/>
      <c r="AU395" s="13" t="n"/>
      <c r="AV395" s="13" t="n"/>
      <c r="AW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  <c r="AF396" s="13" t="n"/>
      <c r="AG396" s="13" t="n"/>
      <c r="AH396" s="13" t="n"/>
      <c r="AI396" s="13" t="n"/>
      <c r="AJ396" s="13" t="n"/>
      <c r="AK396" s="13" t="n"/>
      <c r="AL396" s="13" t="n"/>
      <c r="AM396" s="13" t="n"/>
      <c r="AN396" s="13" t="n"/>
      <c r="AO396" s="13" t="n"/>
      <c r="AP396" s="13" t="n"/>
      <c r="AQ396" s="13" t="n"/>
      <c r="AR396" s="13" t="n"/>
      <c r="AS396" s="13" t="n"/>
      <c r="AT396" s="13" t="n"/>
      <c r="AU396" s="13" t="n"/>
      <c r="AV396" s="13" t="n"/>
      <c r="AW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  <c r="AF397" s="13" t="n"/>
      <c r="AG397" s="13" t="n"/>
      <c r="AH397" s="13" t="n"/>
      <c r="AI397" s="13" t="n"/>
      <c r="AJ397" s="13" t="n"/>
      <c r="AK397" s="13" t="n"/>
      <c r="AL397" s="13" t="n"/>
      <c r="AM397" s="13" t="n"/>
      <c r="AN397" s="13" t="n"/>
      <c r="AO397" s="13" t="n"/>
      <c r="AP397" s="13" t="n"/>
      <c r="AQ397" s="13" t="n"/>
      <c r="AR397" s="13" t="n"/>
      <c r="AS397" s="13" t="n"/>
      <c r="AT397" s="13" t="n"/>
      <c r="AU397" s="13" t="n"/>
      <c r="AV397" s="13" t="n"/>
      <c r="AW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  <c r="AF398" s="13" t="n"/>
      <c r="AG398" s="13" t="n"/>
      <c r="AH398" s="13" t="n"/>
      <c r="AI398" s="13" t="n"/>
      <c r="AJ398" s="13" t="n"/>
      <c r="AK398" s="13" t="n"/>
      <c r="AL398" s="13" t="n"/>
      <c r="AM398" s="13" t="n"/>
      <c r="AN398" s="13" t="n"/>
      <c r="AO398" s="13" t="n"/>
      <c r="AP398" s="13" t="n"/>
      <c r="AQ398" s="13" t="n"/>
      <c r="AR398" s="13" t="n"/>
      <c r="AS398" s="13" t="n"/>
      <c r="AT398" s="13" t="n"/>
      <c r="AU398" s="13" t="n"/>
      <c r="AV398" s="13" t="n"/>
      <c r="AW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  <c r="AL399" s="13" t="n"/>
      <c r="AM399" s="13" t="n"/>
      <c r="AN399" s="13" t="n"/>
      <c r="AO399" s="13" t="n"/>
      <c r="AP399" s="13" t="n"/>
      <c r="AQ399" s="13" t="n"/>
      <c r="AR399" s="13" t="n"/>
      <c r="AS399" s="13" t="n"/>
      <c r="AT399" s="13" t="n"/>
      <c r="AU399" s="13" t="n"/>
      <c r="AV399" s="13" t="n"/>
      <c r="AW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  <c r="AF400" s="13" t="n"/>
      <c r="AG400" s="13" t="n"/>
      <c r="AH400" s="13" t="n"/>
      <c r="AI400" s="13" t="n"/>
      <c r="AJ400" s="13" t="n"/>
      <c r="AK400" s="13" t="n"/>
      <c r="AL400" s="13" t="n"/>
      <c r="AM400" s="13" t="n"/>
      <c r="AN400" s="13" t="n"/>
      <c r="AO400" s="13" t="n"/>
      <c r="AP400" s="13" t="n"/>
      <c r="AQ400" s="13" t="n"/>
      <c r="AR400" s="13" t="n"/>
      <c r="AS400" s="13" t="n"/>
      <c r="AT400" s="13" t="n"/>
      <c r="AU400" s="13" t="n"/>
      <c r="AV400" s="13" t="n"/>
      <c r="AW400" s="13" t="n"/>
    </row>
  </sheetData>
  <mergeCells count="6">
    <mergeCell ref="AF1:AQ1"/>
    <mergeCell ref="A1:C1"/>
    <mergeCell ref="D1:K1"/>
    <mergeCell ref="T1:AE1"/>
    <mergeCell ref="L1:S1"/>
    <mergeCell ref="AR1:AV1"/>
  </mergeCells>
  <dataValidations count="6">
    <dataValidation sqref="B3:B400" showDropDown="0" showInputMessage="0" showErrorMessage="0" allowBlank="1" type="list">
      <formula1>"Start,Halfway,Finish"</formula1>
    </dataValidation>
    <dataValidation sqref="D3:D400 E3:E400 F3:F400 G3:G400 H3:H400 I3:I400 J3:J400 K3:K400" showDropDown="0" showInputMessage="0" showErrorMessage="0" allowBlank="1" type="whole" operator="between">
      <formula1>1</formula1>
      <formula2>4</formula2>
    </dataValidation>
    <dataValidation sqref="L3:L400 M3:M400 N3:N400 O3:O400 P3:P400 Q3:Q400 R3:R400 S3:S400" showDropDown="0" showInputMessage="0" showErrorMessage="0" allowBlank="1" type="whole" operator="between">
      <formula1>0</formula1>
      <formula2>1</formula2>
    </dataValidation>
    <dataValidation sqref="T3:T400 U3:U400 V3:V400 W3:W400 X3:X400 Y3:Y400 Z3:Z400 AA3:AA400 AB3:AB400 AC3:AC400 AD3:AD400 AE3:AE400 AF3:AF400 AG3:AG400 AH3:AH400 AI3:AI400 AJ3:AJ400 AK3:AK400 AL3:AL400 AM3:AM400 AN3:AN400 AO3:AO400 AP3:AP400 AQ3:AQ400 AR3:AR400" showDropDown="0" showInputMessage="0" showErrorMessage="0" allowBlank="1" type="whole" operator="between">
      <formula1>1</formula1>
      <formula2>3</formula2>
    </dataValidation>
    <dataValidation sqref="AS3:AS400 AT3:AT400" showDropDown="0" showInputMessage="0" showErrorMessage="0" allowBlank="1" type="list">
      <formula1>"Yes,Sometimes,No"</formula1>
    </dataValidation>
    <dataValidation sqref="AU3:AU400 AV3:AV400" showDropDown="0" showInputMessage="0" showErrorMessage="0" allowBlank="1" type="list">
      <formula1>"Yes,Maybe,No"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</cols>
  <sheetData>
    <row r="1">
      <c r="A1" s="14" t="inlineStr">
        <is>
          <t>Whole class, at each checkpoint</t>
        </is>
      </c>
    </row>
    <row r="2">
      <c r="A2" s="7" t="inlineStr">
        <is>
          <t>Rows coded EXAMPLE are left out. Blank = no answers yet.</t>
        </is>
      </c>
    </row>
    <row r="4">
      <c r="A4" s="15" t="inlineStr">
        <is>
          <t>Forms entered</t>
        </is>
      </c>
      <c r="B4" s="11" t="inlineStr">
        <is>
          <t>Start</t>
        </is>
      </c>
      <c r="C4" s="11" t="inlineStr">
        <is>
          <t>Halfway</t>
        </is>
      </c>
      <c r="D4" s="11" t="inlineStr">
        <is>
          <t>Finish</t>
        </is>
      </c>
    </row>
    <row r="5">
      <c r="A5" s="5" t="inlineStr">
        <is>
          <t>Number of questionnaires</t>
        </is>
      </c>
      <c r="B5" s="5">
        <f>COUNTIFS(Answers!$B$3:$B$400,"Start",Answers!$A$3:$A$400,"&lt;&gt;EXAMPLE",Answers!$A$3:$A$400,"&lt;&gt;")</f>
        <v/>
      </c>
      <c r="C5" s="5">
        <f>COUNTIFS(Answers!$B$3:$B$400,"Halfway",Answers!$A$3:$A$400,"&lt;&gt;EXAMPLE",Answers!$A$3:$A$400,"&lt;&gt;")</f>
        <v/>
      </c>
      <c r="D5" s="5">
        <f>COUNTIFS(Answers!$B$3:$B$400,"Finish",Answers!$A$3:$A$400,"&lt;&gt;EXAMPLE",Answers!$A$3:$A$400,"&lt;&gt;")</f>
        <v/>
      </c>
    </row>
    <row r="7">
      <c r="A7" s="15" t="inlineStr">
        <is>
          <t>Part 1: About me (average, 1 to 4)</t>
        </is>
      </c>
      <c r="B7" s="11" t="inlineStr">
        <is>
          <t>Start</t>
        </is>
      </c>
      <c r="C7" s="11" t="inlineStr">
        <is>
          <t>Halfway</t>
        </is>
      </c>
      <c r="D7" s="11" t="inlineStr">
        <is>
          <t>Finish</t>
        </is>
      </c>
      <c r="E7" s="11" t="inlineStr">
        <is>
          <t>Change</t>
        </is>
      </c>
    </row>
    <row r="8">
      <c r="A8" s="4" t="inlineStr">
        <is>
          <t>Confidence</t>
        </is>
      </c>
      <c r="B8" s="16">
        <f>IFERROR(SUMPRODUCT((Answers!$B$3:$B$400="Start")*(Answers!$A$3:$A$400&lt;&gt;"EXAMPLE")*Answers!$D$3:$F$400)/SUMPRODUCT((Answers!$B$3:$B$400="Start")*(Answers!$A$3:$A$400&lt;&gt;"EXAMPLE")*(Answers!$D$3:$F$400&lt;&gt;"")),"")</f>
        <v/>
      </c>
      <c r="C8" s="16">
        <f>IFERROR(SUMPRODUCT((Answers!$B$3:$B$400="Halfway")*(Answers!$A$3:$A$400&lt;&gt;"EXAMPLE")*Answers!$D$3:$F$400)/SUMPRODUCT((Answers!$B$3:$B$400="Halfway")*(Answers!$A$3:$A$400&lt;&gt;"EXAMPLE")*(Answers!$D$3:$F$400&lt;&gt;"")),"")</f>
        <v/>
      </c>
      <c r="D8" s="16">
        <f>IFERROR(SUMPRODUCT((Answers!$B$3:$B$400="Finish")*(Answers!$A$3:$A$400&lt;&gt;"EXAMPLE")*Answers!$D$3:$F$400)/SUMPRODUCT((Answers!$B$3:$B$400="Finish")*(Answers!$A$3:$A$400&lt;&gt;"EXAMPLE")*(Answers!$D$3:$F$400&lt;&gt;"")),"")</f>
        <v/>
      </c>
      <c r="E8" s="17">
        <f>IF(OR(B8="",D8=""),"",D8-B8)</f>
        <v/>
      </c>
    </row>
    <row r="9">
      <c r="A9" s="5" t="inlineStr">
        <is>
          <t xml:space="preserve">   A1  I am good at figuring out how things work.</t>
        </is>
      </c>
      <c r="B9" s="18">
        <f>IFERROR(AVERAGEIFS(Answers!$D$3:$D$400,Answers!$B$3:$B$400,"Start",Answers!$A$3:$A$400,"&lt;&gt;EXAMPLE"),"")</f>
        <v/>
      </c>
      <c r="C9" s="18">
        <f>IFERROR(AVERAGEIFS(Answers!$D$3:$D$400,Answers!$B$3:$B$400,"Halfway",Answers!$A$3:$A$400,"&lt;&gt;EXAMPLE"),"")</f>
        <v/>
      </c>
      <c r="D9" s="18">
        <f>IFERROR(AVERAGEIFS(Answers!$D$3:$D$400,Answers!$B$3:$B$400,"Finish",Answers!$A$3:$A$400,"&lt;&gt;EXAMPLE"),"")</f>
        <v/>
      </c>
      <c r="E9" s="19">
        <f>IF(OR(B9="",D9=""),"",D9-B9)</f>
        <v/>
      </c>
    </row>
    <row r="10">
      <c r="A10" s="5" t="inlineStr">
        <is>
          <t xml:space="preserve">   A2  I could write a program that makes a robot do something.</t>
        </is>
      </c>
      <c r="B10" s="18">
        <f>IFERROR(AVERAGEIFS(Answers!$E$3:$E$400,Answers!$B$3:$B$400,"Start",Answers!$A$3:$A$400,"&lt;&gt;EXAMPLE"),"")</f>
        <v/>
      </c>
      <c r="C10" s="18">
        <f>IFERROR(AVERAGEIFS(Answers!$E$3:$E$400,Answers!$B$3:$B$400,"Halfway",Answers!$A$3:$A$400,"&lt;&gt;EXAMPLE"),"")</f>
        <v/>
      </c>
      <c r="D10" s="18">
        <f>IFERROR(AVERAGEIFS(Answers!$E$3:$E$400,Answers!$B$3:$B$400,"Finish",Answers!$A$3:$A$400,"&lt;&gt;EXAMPLE"),"")</f>
        <v/>
      </c>
      <c r="E10" s="19">
        <f>IF(OR(B10="",D10=""),"",D10-B10)</f>
        <v/>
      </c>
    </row>
    <row r="11">
      <c r="A11" s="5" t="inlineStr">
        <is>
          <t xml:space="preserve">   A3  When my code doesn't work, I can find the bug and fix it.</t>
        </is>
      </c>
      <c r="B11" s="18">
        <f>IFERROR(AVERAGEIFS(Answers!$F$3:$F$400,Answers!$B$3:$B$400,"Start",Answers!$A$3:$A$400,"&lt;&gt;EXAMPLE"),"")</f>
        <v/>
      </c>
      <c r="C11" s="18">
        <f>IFERROR(AVERAGEIFS(Answers!$F$3:$F$400,Answers!$B$3:$B$400,"Halfway",Answers!$A$3:$A$400,"&lt;&gt;EXAMPLE"),"")</f>
        <v/>
      </c>
      <c r="D11" s="18">
        <f>IFERROR(AVERAGEIFS(Answers!$F$3:$F$400,Answers!$B$3:$B$400,"Finish",Answers!$A$3:$A$400,"&lt;&gt;EXAMPLE"),"")</f>
        <v/>
      </c>
      <c r="E11" s="19">
        <f>IF(OR(B11="",D11=""),"",D11-B11)</f>
        <v/>
      </c>
    </row>
    <row r="12">
      <c r="A12" s="4" t="inlineStr">
        <is>
          <t>Never give up</t>
        </is>
      </c>
      <c r="B12" s="16">
        <f>IFERROR(SUMPRODUCT((Answers!$B$3:$B$400="Start")*(Answers!$A$3:$A$400&lt;&gt;"EXAMPLE")*Answers!$G$3:$G$400)/SUMPRODUCT((Answers!$B$3:$B$400="Start")*(Answers!$A$3:$A$400&lt;&gt;"EXAMPLE")*(Answers!$G$3:$G$400&lt;&gt;"")),"")</f>
        <v/>
      </c>
      <c r="C12" s="16">
        <f>IFERROR(SUMPRODUCT((Answers!$B$3:$B$400="Halfway")*(Answers!$A$3:$A$400&lt;&gt;"EXAMPLE")*Answers!$G$3:$G$400)/SUMPRODUCT((Answers!$B$3:$B$400="Halfway")*(Answers!$A$3:$A$400&lt;&gt;"EXAMPLE")*(Answers!$G$3:$G$400&lt;&gt;"")),"")</f>
        <v/>
      </c>
      <c r="D12" s="16">
        <f>IFERROR(SUMPRODUCT((Answers!$B$3:$B$400="Finish")*(Answers!$A$3:$A$400&lt;&gt;"EXAMPLE")*Answers!$G$3:$G$400)/SUMPRODUCT((Answers!$B$3:$B$400="Finish")*(Answers!$A$3:$A$400&lt;&gt;"EXAMPLE")*(Answers!$G$3:$G$400&lt;&gt;"")),"")</f>
        <v/>
      </c>
      <c r="E12" s="17">
        <f>IF(OR(B12="",D12=""),"",D12-B12)</f>
        <v/>
      </c>
    </row>
    <row r="13">
      <c r="A13" s="5" t="inlineStr">
        <is>
          <t xml:space="preserve">   A4  I keep trying when a problem is hard.</t>
        </is>
      </c>
      <c r="B13" s="18">
        <f>IFERROR(AVERAGEIFS(Answers!$G$3:$G$400,Answers!$B$3:$B$400,"Start",Answers!$A$3:$A$400,"&lt;&gt;EXAMPLE"),"")</f>
        <v/>
      </c>
      <c r="C13" s="18">
        <f>IFERROR(AVERAGEIFS(Answers!$G$3:$G$400,Answers!$B$3:$B$400,"Halfway",Answers!$A$3:$A$400,"&lt;&gt;EXAMPLE"),"")</f>
        <v/>
      </c>
      <c r="D13" s="18">
        <f>IFERROR(AVERAGEIFS(Answers!$G$3:$G$400,Answers!$B$3:$B$400,"Finish",Answers!$A$3:$A$400,"&lt;&gt;EXAMPLE"),"")</f>
        <v/>
      </c>
      <c r="E13" s="19">
        <f>IF(OR(B13="",D13=""),"",D13-B13)</f>
        <v/>
      </c>
    </row>
    <row r="14">
      <c r="A14" s="4" t="inlineStr">
        <is>
          <t>Teamwork</t>
        </is>
      </c>
      <c r="B14" s="16">
        <f>IFERROR(SUMPRODUCT((Answers!$B$3:$B$400="Start")*(Answers!$A$3:$A$400&lt;&gt;"EXAMPLE")*Answers!$H$3:$I$400)/SUMPRODUCT((Answers!$B$3:$B$400="Start")*(Answers!$A$3:$A$400&lt;&gt;"EXAMPLE")*(Answers!$H$3:$I$400&lt;&gt;"")),"")</f>
        <v/>
      </c>
      <c r="C14" s="16">
        <f>IFERROR(SUMPRODUCT((Answers!$B$3:$B$400="Halfway")*(Answers!$A$3:$A$400&lt;&gt;"EXAMPLE")*Answers!$H$3:$I$400)/SUMPRODUCT((Answers!$B$3:$B$400="Halfway")*(Answers!$A$3:$A$400&lt;&gt;"EXAMPLE")*(Answers!$H$3:$I$400&lt;&gt;"")),"")</f>
        <v/>
      </c>
      <c r="D14" s="16">
        <f>IFERROR(SUMPRODUCT((Answers!$B$3:$B$400="Finish")*(Answers!$A$3:$A$400&lt;&gt;"EXAMPLE")*Answers!$H$3:$I$400)/SUMPRODUCT((Answers!$B$3:$B$400="Finish")*(Answers!$A$3:$A$400&lt;&gt;"EXAMPLE")*(Answers!$H$3:$I$400&lt;&gt;"")),"")</f>
        <v/>
      </c>
      <c r="E14" s="17">
        <f>IF(OR(B14="",D14=""),"",D14-B14)</f>
        <v/>
      </c>
    </row>
    <row r="15">
      <c r="A15" s="5" t="inlineStr">
        <is>
          <t xml:space="preserve">   A5  I can explain my ideas to my team.</t>
        </is>
      </c>
      <c r="B15" s="18">
        <f>IFERROR(AVERAGEIFS(Answers!$H$3:$H$400,Answers!$B$3:$B$400,"Start",Answers!$A$3:$A$400,"&lt;&gt;EXAMPLE"),"")</f>
        <v/>
      </c>
      <c r="C15" s="18">
        <f>IFERROR(AVERAGEIFS(Answers!$H$3:$H$400,Answers!$B$3:$B$400,"Halfway",Answers!$A$3:$A$400,"&lt;&gt;EXAMPLE"),"")</f>
        <v/>
      </c>
      <c r="D15" s="18">
        <f>IFERROR(AVERAGEIFS(Answers!$H$3:$H$400,Answers!$B$3:$B$400,"Finish",Answers!$A$3:$A$400,"&lt;&gt;EXAMPLE"),"")</f>
        <v/>
      </c>
      <c r="E15" s="19">
        <f>IF(OR(B15="",D15=""),"",D15-B15)</f>
        <v/>
      </c>
    </row>
    <row r="16">
      <c r="A16" s="5" t="inlineStr">
        <is>
          <t xml:space="preserve">   A6  I like working with a team.</t>
        </is>
      </c>
      <c r="B16" s="18">
        <f>IFERROR(AVERAGEIFS(Answers!$I$3:$I$400,Answers!$B$3:$B$400,"Start",Answers!$A$3:$A$400,"&lt;&gt;EXAMPLE"),"")</f>
        <v/>
      </c>
      <c r="C16" s="18">
        <f>IFERROR(AVERAGEIFS(Answers!$I$3:$I$400,Answers!$B$3:$B$400,"Halfway",Answers!$A$3:$A$400,"&lt;&gt;EXAMPLE"),"")</f>
        <v/>
      </c>
      <c r="D16" s="18">
        <f>IFERROR(AVERAGEIFS(Answers!$I$3:$I$400,Answers!$B$3:$B$400,"Finish",Answers!$A$3:$A$400,"&lt;&gt;EXAMPLE"),"")</f>
        <v/>
      </c>
      <c r="E16" s="19">
        <f>IF(OR(B16="",D16=""),"",D16-B16)</f>
        <v/>
      </c>
    </row>
    <row r="17">
      <c r="A17" s="4" t="inlineStr">
        <is>
          <t>Interest</t>
        </is>
      </c>
      <c r="B17" s="16">
        <f>IFERROR(SUMPRODUCT((Answers!$B$3:$B$400="Start")*(Answers!$A$3:$A$400&lt;&gt;"EXAMPLE")*Answers!$J$3:$K$400)/SUMPRODUCT((Answers!$B$3:$B$400="Start")*(Answers!$A$3:$A$400&lt;&gt;"EXAMPLE")*(Answers!$J$3:$K$400&lt;&gt;"")),"")</f>
        <v/>
      </c>
      <c r="C17" s="16">
        <f>IFERROR(SUMPRODUCT((Answers!$B$3:$B$400="Halfway")*(Answers!$A$3:$A$400&lt;&gt;"EXAMPLE")*Answers!$J$3:$K$400)/SUMPRODUCT((Answers!$B$3:$B$400="Halfway")*(Answers!$A$3:$A$400&lt;&gt;"EXAMPLE")*(Answers!$J$3:$K$400&lt;&gt;"")),"")</f>
        <v/>
      </c>
      <c r="D17" s="16">
        <f>IFERROR(SUMPRODUCT((Answers!$B$3:$B$400="Finish")*(Answers!$A$3:$A$400&lt;&gt;"EXAMPLE")*Answers!$J$3:$K$400)/SUMPRODUCT((Answers!$B$3:$B$400="Finish")*(Answers!$A$3:$A$400&lt;&gt;"EXAMPLE")*(Answers!$J$3:$K$400&lt;&gt;"")),"")</f>
        <v/>
      </c>
      <c r="E17" s="17">
        <f>IF(OR(B17="",D17=""),"",D17-B17)</f>
        <v/>
      </c>
    </row>
    <row r="18">
      <c r="A18" s="5" t="inlineStr">
        <is>
          <t xml:space="preserve">   A7  Robots and coding are fun.</t>
        </is>
      </c>
      <c r="B18" s="18">
        <f>IFERROR(AVERAGEIFS(Answers!$J$3:$J$400,Answers!$B$3:$B$400,"Start",Answers!$A$3:$A$400,"&lt;&gt;EXAMPLE"),"")</f>
        <v/>
      </c>
      <c r="C18" s="18">
        <f>IFERROR(AVERAGEIFS(Answers!$J$3:$J$400,Answers!$B$3:$B$400,"Halfway",Answers!$A$3:$A$400,"&lt;&gt;EXAMPLE"),"")</f>
        <v/>
      </c>
      <c r="D18" s="18">
        <f>IFERROR(AVERAGEIFS(Answers!$J$3:$J$400,Answers!$B$3:$B$400,"Finish",Answers!$A$3:$A$400,"&lt;&gt;EXAMPLE"),"")</f>
        <v/>
      </c>
      <c r="E18" s="19">
        <f>IF(OR(B18="",D18=""),"",D18-B18)</f>
        <v/>
      </c>
    </row>
    <row r="19">
      <c r="A19" s="5" t="inlineStr">
        <is>
          <t xml:space="preserve">   A8  I could be an engineer or a programmer one day.</t>
        </is>
      </c>
      <c r="B19" s="18">
        <f>IFERROR(AVERAGEIFS(Answers!$K$3:$K$400,Answers!$B$3:$B$400,"Start",Answers!$A$3:$A$400,"&lt;&gt;EXAMPLE"),"")</f>
        <v/>
      </c>
      <c r="C19" s="18">
        <f>IFERROR(AVERAGEIFS(Answers!$K$3:$K$400,Answers!$B$3:$B$400,"Halfway",Answers!$A$3:$A$400,"&lt;&gt;EXAMPLE"),"")</f>
        <v/>
      </c>
      <c r="D19" s="18">
        <f>IFERROR(AVERAGEIFS(Answers!$K$3:$K$400,Answers!$B$3:$B$400,"Finish",Answers!$A$3:$A$400,"&lt;&gt;EXAMPLE"),"")</f>
        <v/>
      </c>
      <c r="E19" s="19">
        <f>IF(OR(B19="",D19=""),"",D19-B19)</f>
        <v/>
      </c>
    </row>
    <row r="21">
      <c r="A21" s="15" t="inlineStr">
        <is>
          <t>Part 2: What do you know? (share answered right)</t>
        </is>
      </c>
      <c r="B21" s="11" t="inlineStr">
        <is>
          <t>Start</t>
        </is>
      </c>
      <c r="C21" s="11" t="inlineStr">
        <is>
          <t>Halfway</t>
        </is>
      </c>
      <c r="D21" s="11" t="inlineStr">
        <is>
          <t>Finish</t>
        </is>
      </c>
      <c r="E21" s="11" t="inlineStr">
        <is>
          <t>Change</t>
        </is>
      </c>
    </row>
    <row r="22">
      <c r="A22" s="4" t="inlineStr">
        <is>
          <t>All eight questions</t>
        </is>
      </c>
      <c r="B22" s="20">
        <f>IFERROR(SUMPRODUCT((Answers!$B$3:$B$400="Start")*(Answers!$A$3:$A$400&lt;&gt;"EXAMPLE")*Answers!$L$3:$S$400)/SUMPRODUCT((Answers!$B$3:$B$400="Start")*(Answers!$A$3:$A$400&lt;&gt;"EXAMPLE")*(Answers!$L$3:$S$400&lt;&gt;"")),"")</f>
        <v/>
      </c>
      <c r="C22" s="20">
        <f>IFERROR(SUMPRODUCT((Answers!$B$3:$B$400="Halfway")*(Answers!$A$3:$A$400&lt;&gt;"EXAMPLE")*Answers!$L$3:$S$400)/SUMPRODUCT((Answers!$B$3:$B$400="Halfway")*(Answers!$A$3:$A$400&lt;&gt;"EXAMPLE")*(Answers!$L$3:$S$400&lt;&gt;"")),"")</f>
        <v/>
      </c>
      <c r="D22" s="20">
        <f>IFERROR(SUMPRODUCT((Answers!$B$3:$B$400="Finish")*(Answers!$A$3:$A$400&lt;&gt;"EXAMPLE")*Answers!$L$3:$S$400)/SUMPRODUCT((Answers!$B$3:$B$400="Finish")*(Answers!$A$3:$A$400&lt;&gt;"EXAMPLE")*(Answers!$L$3:$S$400&lt;&gt;"")),"")</f>
        <v/>
      </c>
      <c r="E22" s="21">
        <f>IF(OR(B22="",D22=""),"",D22-B22)</f>
        <v/>
      </c>
    </row>
    <row r="23">
      <c r="A23" s="5" t="inlineStr">
        <is>
          <t xml:space="preserve">   K1  (Lesson 1)  A robot is a machine that can...</t>
        </is>
      </c>
      <c r="B23" s="22">
        <f>IFERROR(AVERAGEIFS(Answers!$L$3:$L$400,Answers!$B$3:$B$400,"Start",Answers!$A$3:$A$400,"&lt;&gt;EXAMPLE"),"")</f>
        <v/>
      </c>
      <c r="C23" s="22">
        <f>IFERROR(AVERAGEIFS(Answers!$L$3:$L$400,Answers!$B$3:$B$400,"Halfway",Answers!$A$3:$A$400,"&lt;&gt;EXAMPLE"),"")</f>
        <v/>
      </c>
      <c r="D23" s="22">
        <f>IFERROR(AVERAGEIFS(Answers!$L$3:$L$400,Answers!$B$3:$B$400,"Finish",Answers!$A$3:$A$400,"&lt;&gt;EXAMPLE"),"")</f>
        <v/>
      </c>
      <c r="E23" s="23">
        <f>IF(OR(B23="",D23=""),"",D23-B23)</f>
        <v/>
      </c>
    </row>
    <row r="24">
      <c r="A24" s="5" t="inlineStr">
        <is>
          <t xml:space="preserve">   K2  (Lesson 2)  In a program, loop() runs...</t>
        </is>
      </c>
      <c r="B24" s="22">
        <f>IFERROR(AVERAGEIFS(Answers!$M$3:$M$400,Answers!$B$3:$B$400,"Start",Answers!$A$3:$A$400,"&lt;&gt;EXAMPLE"),"")</f>
        <v/>
      </c>
      <c r="C24" s="22">
        <f>IFERROR(AVERAGEIFS(Answers!$M$3:$M$400,Answers!$B$3:$B$400,"Halfway",Answers!$A$3:$A$400,"&lt;&gt;EXAMPLE"),"")</f>
        <v/>
      </c>
      <c r="D24" s="22">
        <f>IFERROR(AVERAGEIFS(Answers!$M$3:$M$400,Answers!$B$3:$B$400,"Finish",Answers!$A$3:$A$400,"&lt;&gt;EXAMPLE"),"")</f>
        <v/>
      </c>
      <c r="E24" s="23">
        <f>IF(OR(B24="",D24=""),"",D24-B24)</f>
        <v/>
      </c>
    </row>
    <row r="25">
      <c r="A25" s="5" t="inlineStr">
        <is>
          <t xml:space="preserve">   K3  (Lesson 3)  Red light and green light mixed together make...</t>
        </is>
      </c>
      <c r="B25" s="22">
        <f>IFERROR(AVERAGEIFS(Answers!$N$3:$N$400,Answers!$B$3:$B$400,"Start",Answers!$A$3:$A$400,"&lt;&gt;EXAMPLE"),"")</f>
        <v/>
      </c>
      <c r="C25" s="22">
        <f>IFERROR(AVERAGEIFS(Answers!$N$3:$N$400,Answers!$B$3:$B$400,"Halfway",Answers!$A$3:$A$400,"&lt;&gt;EXAMPLE"),"")</f>
        <v/>
      </c>
      <c r="D25" s="22">
        <f>IFERROR(AVERAGEIFS(Answers!$N$3:$N$400,Answers!$B$3:$B$400,"Finish",Answers!$A$3:$A$400,"&lt;&gt;EXAMPLE"),"")</f>
        <v/>
      </c>
      <c r="E25" s="23">
        <f>IF(OR(B25="",D25=""),"",D25-B25)</f>
        <v/>
      </c>
    </row>
    <row r="26">
      <c r="A26" s="5" t="inlineStr">
        <is>
          <t xml:space="preserve">   K4  (Lesson 5)  A Pathfinder turns right by...</t>
        </is>
      </c>
      <c r="B26" s="22">
        <f>IFERROR(AVERAGEIFS(Answers!$O$3:$O$400,Answers!$B$3:$B$400,"Start",Answers!$A$3:$A$400,"&lt;&gt;EXAMPLE"),"")</f>
        <v/>
      </c>
      <c r="C26" s="22">
        <f>IFERROR(AVERAGEIFS(Answers!$O$3:$O$400,Answers!$B$3:$B$400,"Halfway",Answers!$A$3:$A$400,"&lt;&gt;EXAMPLE"),"")</f>
        <v/>
      </c>
      <c r="D26" s="22">
        <f>IFERROR(AVERAGEIFS(Answers!$O$3:$O$400,Answers!$B$3:$B$400,"Finish",Answers!$A$3:$A$400,"&lt;&gt;EXAMPLE"),"")</f>
        <v/>
      </c>
      <c r="E26" s="23">
        <f>IF(OR(B26="",D26=""),"",D26-B26)</f>
        <v/>
      </c>
    </row>
    <row r="27">
      <c r="A27" s="5" t="inlineStr">
        <is>
          <t xml:space="preserve">   K5  (Lesson 6)  1000 milliseconds is...</t>
        </is>
      </c>
      <c r="B27" s="22">
        <f>IFERROR(AVERAGEIFS(Answers!$P$3:$P$400,Answers!$B$3:$B$400,"Start",Answers!$A$3:$A$400,"&lt;&gt;EXAMPLE"),"")</f>
        <v/>
      </c>
      <c r="C27" s="22">
        <f>IFERROR(AVERAGEIFS(Answers!$P$3:$P$400,Answers!$B$3:$B$400,"Halfway",Answers!$A$3:$A$400,"&lt;&gt;EXAMPLE"),"")</f>
        <v/>
      </c>
      <c r="D27" s="22">
        <f>IFERROR(AVERAGEIFS(Answers!$P$3:$P$400,Answers!$B$3:$B$400,"Finish",Answers!$A$3:$A$400,"&lt;&gt;EXAMPLE"),"")</f>
        <v/>
      </c>
      <c r="E27" s="23">
        <f>IF(OR(B27="",D27=""),"",D27-B27)</f>
        <v/>
      </c>
    </row>
    <row r="28">
      <c r="A28" s="5" t="inlineStr">
        <is>
          <t xml:space="preserve">   K6  (Lesson 7)  A function is...</t>
        </is>
      </c>
      <c r="B28" s="22">
        <f>IFERROR(AVERAGEIFS(Answers!$Q$3:$Q$400,Answers!$B$3:$B$400,"Start",Answers!$A$3:$A$400,"&lt;&gt;EXAMPLE"),"")</f>
        <v/>
      </c>
      <c r="C28" s="22">
        <f>IFERROR(AVERAGEIFS(Answers!$Q$3:$Q$400,Answers!$B$3:$B$400,"Halfway",Answers!$A$3:$A$400,"&lt;&gt;EXAMPLE"),"")</f>
        <v/>
      </c>
      <c r="D28" s="22">
        <f>IFERROR(AVERAGEIFS(Answers!$Q$3:$Q$400,Answers!$B$3:$B$400,"Finish",Answers!$A$3:$A$400,"&lt;&gt;EXAMPLE"),"")</f>
        <v/>
      </c>
      <c r="E28" s="23">
        <f>IF(OR(B28="",D28=""),"",D28-B28)</f>
        <v/>
      </c>
    </row>
    <row r="29">
      <c r="A29" s="5" t="inlineStr">
        <is>
          <t xml:space="preserve">   K7  (Lesson 8)  In  if (buttonA()) { ... } else { ... }  the else part happens when...</t>
        </is>
      </c>
      <c r="B29" s="22">
        <f>IFERROR(AVERAGEIFS(Answers!$R$3:$R$400,Answers!$B$3:$B$400,"Start",Answers!$A$3:$A$400,"&lt;&gt;EXAMPLE"),"")</f>
        <v/>
      </c>
      <c r="C29" s="22">
        <f>IFERROR(AVERAGEIFS(Answers!$R$3:$R$400,Answers!$B$3:$B$400,"Halfway",Answers!$A$3:$A$400,"&lt;&gt;EXAMPLE"),"")</f>
        <v/>
      </c>
      <c r="D29" s="22">
        <f>IFERROR(AVERAGEIFS(Answers!$R$3:$R$400,Answers!$B$3:$B$400,"Finish",Answers!$A$3:$A$400,"&lt;&gt;EXAMPLE"),"")</f>
        <v/>
      </c>
      <c r="E29" s="23">
        <f>IF(OR(B29="",D29=""),"",D29-B29)</f>
        <v/>
      </c>
    </row>
    <row r="30">
      <c r="A30" s="5" t="inlineStr">
        <is>
          <t xml:space="preserve">   K8  (Lesson 10)  While a program is waiting in delay(), it...</t>
        </is>
      </c>
      <c r="B30" s="22">
        <f>IFERROR(AVERAGEIFS(Answers!$S$3:$S$400,Answers!$B$3:$B$400,"Start",Answers!$A$3:$A$400,"&lt;&gt;EXAMPLE"),"")</f>
        <v/>
      </c>
      <c r="C30" s="22">
        <f>IFERROR(AVERAGEIFS(Answers!$S$3:$S$400,Answers!$B$3:$B$400,"Halfway",Answers!$A$3:$A$400,"&lt;&gt;EXAMPLE"),"")</f>
        <v/>
      </c>
      <c r="D30" s="22">
        <f>IFERROR(AVERAGEIFS(Answers!$S$3:$S$400,Answers!$B$3:$B$400,"Finish",Answers!$A$3:$A$400,"&lt;&gt;EXAMPLE"),"")</f>
        <v/>
      </c>
      <c r="E30" s="23">
        <f>IF(OR(B30="",D30=""),"",D30-B30)</f>
        <v/>
      </c>
    </row>
    <row r="32">
      <c r="A32" s="15" t="inlineStr">
        <is>
          <t>Lessons (average)</t>
        </is>
      </c>
      <c r="B32" s="11" t="inlineStr">
        <is>
          <t>Liked it</t>
        </is>
      </c>
      <c r="C32" s="11" t="inlineStr">
        <is>
          <t>How hard</t>
        </is>
      </c>
      <c r="D32" s="11" t="inlineStr">
        <is>
          <t>Answers</t>
        </is>
      </c>
      <c r="E32" s="11" t="inlineStr">
        <is>
          <t>Worth a look?</t>
        </is>
      </c>
    </row>
    <row r="33">
      <c r="A33" s="7" t="inlineStr">
        <is>
          <t>Liked: 1 not much, 3 loved it.  Hard: 1 too easy, 2 just right, 3 too hard.</t>
        </is>
      </c>
    </row>
    <row r="34">
      <c r="A34" s="5" t="inlineStr">
        <is>
          <t>1  Meet Pathfinder</t>
        </is>
      </c>
      <c r="B34" s="18">
        <f>IFERROR(AVERAGEIFS(Answers!$T$3:$T$400,Answers!$A$3:$A$400,"&lt;&gt;EXAMPLE"),"")</f>
        <v/>
      </c>
      <c r="C34" s="18">
        <f>IFERROR(AVERAGEIFS(Answers!$AF$3:$AF$400,Answers!$A$3:$A$400,"&lt;&gt;EXAMPLE"),"")</f>
        <v/>
      </c>
      <c r="D34" s="5">
        <f>COUNTIFS(Answers!$T$3:$T$400,"&lt;&gt;",Answers!$A$3:$A$400,"&lt;&gt;EXAMPLE")</f>
        <v/>
      </c>
      <c r="E34" s="24">
        <f>IF(B34="","",TRIM(IF(C34&gt;=2.5,"Too hard? ",IF(C34&lt;=1.5,"Too easy? ",""))&amp;IF(B34&lt;2,"Not landing?","")))</f>
        <v/>
      </c>
    </row>
    <row r="35">
      <c r="A35" s="5" t="inlineStr">
        <is>
          <t>2  Talking to Robots</t>
        </is>
      </c>
      <c r="B35" s="18">
        <f>IFERROR(AVERAGEIFS(Answers!$U$3:$U$400,Answers!$A$3:$A$400,"&lt;&gt;EXAMPLE"),"")</f>
        <v/>
      </c>
      <c r="C35" s="18">
        <f>IFERROR(AVERAGEIFS(Answers!$AG$3:$AG$400,Answers!$A$3:$A$400,"&lt;&gt;EXAMPLE"),"")</f>
        <v/>
      </c>
      <c r="D35" s="5">
        <f>COUNTIFS(Answers!$U$3:$U$400,"&lt;&gt;",Answers!$A$3:$A$400,"&lt;&gt;EXAMPLE")</f>
        <v/>
      </c>
      <c r="E35" s="24">
        <f>IF(B35="","",TRIM(IF(C35&gt;=2.5,"Too hard? ",IF(C35&lt;=1.5,"Too easy? ",""))&amp;IF(B35&lt;2,"Not landing?","")))</f>
        <v/>
      </c>
    </row>
    <row r="36">
      <c r="A36" s="5" t="inlineStr">
        <is>
          <t>3  Color Lab</t>
        </is>
      </c>
      <c r="B36" s="18">
        <f>IFERROR(AVERAGEIFS(Answers!$V$3:$V$400,Answers!$A$3:$A$400,"&lt;&gt;EXAMPLE"),"")</f>
        <v/>
      </c>
      <c r="C36" s="18">
        <f>IFERROR(AVERAGEIFS(Answers!$AH$3:$AH$400,Answers!$A$3:$A$400,"&lt;&gt;EXAMPLE"),"")</f>
        <v/>
      </c>
      <c r="D36" s="5">
        <f>COUNTIFS(Answers!$V$3:$V$400,"&lt;&gt;",Answers!$A$3:$A$400,"&lt;&gt;EXAMPLE")</f>
        <v/>
      </c>
      <c r="E36" s="24">
        <f>IF(B36="","",TRIM(IF(C36&gt;=2.5,"Too hard? ",IF(C36&lt;=1.5,"Too easy? ",""))&amp;IF(B36&lt;2,"Not landing?","")))</f>
        <v/>
      </c>
    </row>
    <row r="37">
      <c r="A37" s="5" t="inlineStr">
        <is>
          <t>4  Loops and Light Shows</t>
        </is>
      </c>
      <c r="B37" s="18">
        <f>IFERROR(AVERAGEIFS(Answers!$W$3:$W$400,Answers!$A$3:$A$400,"&lt;&gt;EXAMPLE"),"")</f>
        <v/>
      </c>
      <c r="C37" s="18">
        <f>IFERROR(AVERAGEIFS(Answers!$AI$3:$AI$400,Answers!$A$3:$A$400,"&lt;&gt;EXAMPLE"),"")</f>
        <v/>
      </c>
      <c r="D37" s="5">
        <f>COUNTIFS(Answers!$W$3:$W$400,"&lt;&gt;",Answers!$A$3:$A$400,"&lt;&gt;EXAMPLE")</f>
        <v/>
      </c>
      <c r="E37" s="24">
        <f>IF(B37="","",TRIM(IF(C37&gt;=2.5,"Too hard? ",IF(C37&lt;=1.5,"Too easy? ",""))&amp;IF(B37&lt;2,"Not landing?","")))</f>
        <v/>
      </c>
    </row>
    <row r="38">
      <c r="A38" s="5" t="inlineStr">
        <is>
          <t>5  Make It Move</t>
        </is>
      </c>
      <c r="B38" s="18">
        <f>IFERROR(AVERAGEIFS(Answers!$X$3:$X$400,Answers!$A$3:$A$400,"&lt;&gt;EXAMPLE"),"")</f>
        <v/>
      </c>
      <c r="C38" s="18">
        <f>IFERROR(AVERAGEIFS(Answers!$AJ$3:$AJ$400,Answers!$A$3:$A$400,"&lt;&gt;EXAMPLE"),"")</f>
        <v/>
      </c>
      <c r="D38" s="5">
        <f>COUNTIFS(Answers!$X$3:$X$400,"&lt;&gt;",Answers!$A$3:$A$400,"&lt;&gt;EXAMPLE")</f>
        <v/>
      </c>
      <c r="E38" s="24">
        <f>IF(B38="","",TRIM(IF(C38&gt;=2.5,"Too hard? ",IF(C38&lt;=1.5,"Too easy? ",""))&amp;IF(B38&lt;2,"Not landing?","")))</f>
        <v/>
      </c>
    </row>
    <row r="39">
      <c r="A39" s="5" t="inlineStr">
        <is>
          <t>6  Drive by Code</t>
        </is>
      </c>
      <c r="B39" s="18">
        <f>IFERROR(AVERAGEIFS(Answers!$Y$3:$Y$400,Answers!$A$3:$A$400,"&lt;&gt;EXAMPLE"),"")</f>
        <v/>
      </c>
      <c r="C39" s="18">
        <f>IFERROR(AVERAGEIFS(Answers!$AK$3:$AK$400,Answers!$A$3:$A$400,"&lt;&gt;EXAMPLE"),"")</f>
        <v/>
      </c>
      <c r="D39" s="5">
        <f>COUNTIFS(Answers!$Y$3:$Y$400,"&lt;&gt;",Answers!$A$3:$A$400,"&lt;&gt;EXAMPLE")</f>
        <v/>
      </c>
      <c r="E39" s="24">
        <f>IF(B39="","",TRIM(IF(C39&gt;=2.5,"Too hard? ",IF(C39&lt;=1.5,"Too easy? ",""))&amp;IF(B39&lt;2,"Not landing?","")))</f>
        <v/>
      </c>
    </row>
    <row r="40">
      <c r="A40" s="5" t="inlineStr">
        <is>
          <t>7  Mission to Mars</t>
        </is>
      </c>
      <c r="B40" s="18">
        <f>IFERROR(AVERAGEIFS(Answers!$Z$3:$Z$400,Answers!$A$3:$A$400,"&lt;&gt;EXAMPLE"),"")</f>
        <v/>
      </c>
      <c r="C40" s="18">
        <f>IFERROR(AVERAGEIFS(Answers!$AL$3:$AL$400,Answers!$A$3:$A$400,"&lt;&gt;EXAMPLE"),"")</f>
        <v/>
      </c>
      <c r="D40" s="5">
        <f>COUNTIFS(Answers!$Z$3:$Z$400,"&lt;&gt;",Answers!$A$3:$A$400,"&lt;&gt;EXAMPLE")</f>
        <v/>
      </c>
      <c r="E40" s="24">
        <f>IF(B40="","",TRIM(IF(C40&gt;=2.5,"Too hard? ",IF(C40&lt;=1.5,"Too easy? ",""))&amp;IF(B40&lt;2,"Not landing?","")))</f>
        <v/>
      </c>
    </row>
    <row r="41">
      <c r="A41" s="5" t="inlineStr">
        <is>
          <t>8  Wireless Control</t>
        </is>
      </c>
      <c r="B41" s="18">
        <f>IFERROR(AVERAGEIFS(Answers!$AA$3:$AA$400,Answers!$A$3:$A$400,"&lt;&gt;EXAMPLE"),"")</f>
        <v/>
      </c>
      <c r="C41" s="18">
        <f>IFERROR(AVERAGEIFS(Answers!$AM$3:$AM$400,Answers!$A$3:$A$400,"&lt;&gt;EXAMPLE"),"")</f>
        <v/>
      </c>
      <c r="D41" s="5">
        <f>COUNTIFS(Answers!$AA$3:$AA$400,"&lt;&gt;",Answers!$A$3:$A$400,"&lt;&gt;EXAMPLE")</f>
        <v/>
      </c>
      <c r="E41" s="24">
        <f>IF(B41="","",TRIM(IF(C41&gt;=2.5,"Too hard? ",IF(C41&lt;=1.5,"Too easy? ",""))&amp;IF(B41&lt;2,"Not landing?","")))</f>
        <v/>
      </c>
    </row>
    <row r="42">
      <c r="A42" s="5" t="inlineStr">
        <is>
          <t>9  Joystick Driving</t>
        </is>
      </c>
      <c r="B42" s="18">
        <f>IFERROR(AVERAGEIFS(Answers!$AB$3:$AB$400,Answers!$A$3:$A$400,"&lt;&gt;EXAMPLE"),"")</f>
        <v/>
      </c>
      <c r="C42" s="18">
        <f>IFERROR(AVERAGEIFS(Answers!$AN$3:$AN$400,Answers!$A$3:$A$400,"&lt;&gt;EXAMPLE"),"")</f>
        <v/>
      </c>
      <c r="D42" s="5">
        <f>COUNTIFS(Answers!$AB$3:$AB$400,"&lt;&gt;",Answers!$A$3:$A$400,"&lt;&gt;EXAMPLE")</f>
        <v/>
      </c>
      <c r="E42" s="24">
        <f>IF(B42="","",TRIM(IF(C42&gt;=2.5,"Too hard? ",IF(C42&lt;=1.5,"Too easy? ",""))&amp;IF(B42&lt;2,"Not landing?","")))</f>
        <v/>
      </c>
    </row>
    <row r="43">
      <c r="A43" s="5" t="inlineStr">
        <is>
          <t>10  Smart Lights</t>
        </is>
      </c>
      <c r="B43" s="18">
        <f>IFERROR(AVERAGEIFS(Answers!$AC$3:$AC$400,Answers!$A$3:$A$400,"&lt;&gt;EXAMPLE"),"")</f>
        <v/>
      </c>
      <c r="C43" s="18">
        <f>IFERROR(AVERAGEIFS(Answers!$AO$3:$AO$400,Answers!$A$3:$A$400,"&lt;&gt;EXAMPLE"),"")</f>
        <v/>
      </c>
      <c r="D43" s="5">
        <f>COUNTIFS(Answers!$AC$3:$AC$400,"&lt;&gt;",Answers!$A$3:$A$400,"&lt;&gt;EXAMPLE")</f>
        <v/>
      </c>
      <c r="E43" s="24">
        <f>IF(B43="","",TRIM(IF(C43&gt;=2.5,"Too hard? ",IF(C43&lt;=1.5,"Too easy? ",""))&amp;IF(B43&lt;2,"Not landing?","")))</f>
        <v/>
      </c>
    </row>
    <row r="44">
      <c r="A44" s="5" t="inlineStr">
        <is>
          <t>11  Design Challenge</t>
        </is>
      </c>
      <c r="B44" s="18">
        <f>IFERROR(AVERAGEIFS(Answers!$AD$3:$AD$400,Answers!$A$3:$A$400,"&lt;&gt;EXAMPLE"),"")</f>
        <v/>
      </c>
      <c r="C44" s="18">
        <f>IFERROR(AVERAGEIFS(Answers!$AP$3:$AP$400,Answers!$A$3:$A$400,"&lt;&gt;EXAMPLE"),"")</f>
        <v/>
      </c>
      <c r="D44" s="5">
        <f>COUNTIFS(Answers!$AD$3:$AD$400,"&lt;&gt;",Answers!$A$3:$A$400,"&lt;&gt;EXAMPLE")</f>
        <v/>
      </c>
      <c r="E44" s="24">
        <f>IF(B44="","",TRIM(IF(C44&gt;=2.5,"Too hard? ",IF(C44&lt;=1.5,"Too easy? ",""))&amp;IF(B44&lt;2,"Not landing?","")))</f>
        <v/>
      </c>
    </row>
    <row r="45">
      <c r="A45" s="5" t="inlineStr">
        <is>
          <t>12  Mission Day</t>
        </is>
      </c>
      <c r="B45" s="18">
        <f>IFERROR(AVERAGEIFS(Answers!$AE$3:$AE$400,Answers!$A$3:$A$400,"&lt;&gt;EXAMPLE"),"")</f>
        <v/>
      </c>
      <c r="C45" s="18">
        <f>IFERROR(AVERAGEIFS(Answers!$AQ$3:$AQ$400,Answers!$A$3:$A$400,"&lt;&gt;EXAMPLE"),"")</f>
        <v/>
      </c>
      <c r="D45" s="5">
        <f>COUNTIFS(Answers!$AE$3:$AE$400,"&lt;&gt;",Answers!$A$3:$A$400,"&lt;&gt;EXAMPLE")</f>
        <v/>
      </c>
      <c r="E45" s="24">
        <f>IF(B45="","",TRIM(IF(C45&gt;=2.5,"Too hard? ",IF(C45&lt;=1.5,"Too easy? ",""))&amp;IF(B45&lt;2,"Not landing?","")))</f>
        <v/>
      </c>
    </row>
    <row r="47">
      <c r="A47" s="15" t="inlineStr">
        <is>
          <t>Part 3 questions</t>
        </is>
      </c>
      <c r="B47" s="11" t="inlineStr">
        <is>
          <t>Halfway</t>
        </is>
      </c>
      <c r="C47" s="11" t="inlineStr">
        <is>
          <t>Finish</t>
        </is>
      </c>
    </row>
    <row r="48">
      <c r="A48" s="5" t="inlineStr">
        <is>
          <t>The lessons go...  (1 too slow, 2 just right, 3 too fast)</t>
        </is>
      </c>
      <c r="B48" s="18">
        <f>IFERROR(AVERAGEIFS(Answers!$AR$3:$AR$400,Answers!$B$3:$B$400,"Halfway",Answers!$A$3:$A$400,"&lt;&gt;EXAMPLE"),"")</f>
        <v/>
      </c>
      <c r="C48" s="18">
        <f>IFERROR(AVERAGEIFS(Answers!$AR$3:$AR$400,Answers!$B$3:$B$400,"Finish",Answers!$A$3:$A$400,"&lt;&gt;EXAMPLE"),"")</f>
        <v/>
      </c>
    </row>
    <row r="49">
      <c r="A49" s="5" t="inlineStr">
        <is>
          <t>My team shares the jobs fairly.  share answering "Yes"</t>
        </is>
      </c>
      <c r="B49" s="22">
        <f>IFERROR(COUNTIFS(Answers!$AS$3:$AS$400,"Yes",Answers!$B$3:$B$400,"Halfway",Answers!$A$3:$A$400,"&lt;&gt;EXAMPLE")/COUNTIFS(Answers!$AS$3:$AS$400,"&lt;&gt;",Answers!$B$3:$B$400,"Halfway",Answers!$A$3:$A$400,"&lt;&gt;EXAMPLE"),"")</f>
        <v/>
      </c>
      <c r="C49" s="22">
        <f>IFERROR(COUNTIFS(Answers!$AS$3:$AS$400,"Yes",Answers!$B$3:$B$400,"Finish",Answers!$A$3:$A$400,"&lt;&gt;EXAMPLE")/COUNTIFS(Answers!$AS$3:$AS$400,"&lt;&gt;",Answers!$B$3:$B$400,"Finish",Answers!$A$3:$A$400,"&lt;&gt;EXAMPLE"),"")</f>
        <v/>
      </c>
    </row>
    <row r="50">
      <c r="A50" s="5" t="inlineStr">
        <is>
          <t>My team shares the jobs fairly.  share answering "No"</t>
        </is>
      </c>
      <c r="B50" s="22">
        <f>IFERROR(COUNTIFS(Answers!$AS$3:$AS$400,"No",Answers!$B$3:$B$400,"Halfway",Answers!$A$3:$A$400,"&lt;&gt;EXAMPLE")/COUNTIFS(Answers!$AS$3:$AS$400,"&lt;&gt;",Answers!$B$3:$B$400,"Halfway",Answers!$A$3:$A$400,"&lt;&gt;EXAMPLE"),"")</f>
        <v/>
      </c>
      <c r="C50" s="22">
        <f>IFERROR(COUNTIFS(Answers!$AS$3:$AS$400,"No",Answers!$B$3:$B$400,"Finish",Answers!$A$3:$A$400,"&lt;&gt;EXAMPLE")/COUNTIFS(Answers!$AS$3:$AS$400,"&lt;&gt;",Answers!$B$3:$B$400,"Finish",Answers!$A$3:$A$400,"&lt;&gt;EXAMPLE"),"")</f>
        <v/>
      </c>
    </row>
    <row r="51">
      <c r="A51" s="5" t="inlineStr">
        <is>
          <t>I feel safe in this class.  share answering "Yes"</t>
        </is>
      </c>
      <c r="B51" s="22">
        <f>IFERROR(COUNTIFS(Answers!$AT$3:$AT$400,"Yes",Answers!$B$3:$B$400,"Halfway",Answers!$A$3:$A$400,"&lt;&gt;EXAMPLE")/COUNTIFS(Answers!$AT$3:$AT$400,"&lt;&gt;",Answers!$B$3:$B$400,"Halfway",Answers!$A$3:$A$400,"&lt;&gt;EXAMPLE"),"")</f>
        <v/>
      </c>
      <c r="C51" s="22">
        <f>IFERROR(COUNTIFS(Answers!$AT$3:$AT$400,"Yes",Answers!$B$3:$B$400,"Finish",Answers!$A$3:$A$400,"&lt;&gt;EXAMPLE")/COUNTIFS(Answers!$AT$3:$AT$400,"&lt;&gt;",Answers!$B$3:$B$400,"Finish",Answers!$A$3:$A$400,"&lt;&gt;EXAMPLE"),"")</f>
        <v/>
      </c>
    </row>
    <row r="52">
      <c r="A52" s="5" t="inlineStr">
        <is>
          <t>I feel safe in this class.  share answering "No"</t>
        </is>
      </c>
      <c r="B52" s="22">
        <f>IFERROR(COUNTIFS(Answers!$AT$3:$AT$400,"No",Answers!$B$3:$B$400,"Halfway",Answers!$A$3:$A$400,"&lt;&gt;EXAMPLE")/COUNTIFS(Answers!$AT$3:$AT$400,"&lt;&gt;",Answers!$B$3:$B$400,"Halfway",Answers!$A$3:$A$400,"&lt;&gt;EXAMPLE"),"")</f>
        <v/>
      </c>
      <c r="C52" s="22">
        <f>IFERROR(COUNTIFS(Answers!$AT$3:$AT$400,"No",Answers!$B$3:$B$400,"Finish",Answers!$A$3:$A$400,"&lt;&gt;EXAMPLE")/COUNTIFS(Answers!$AT$3:$AT$400,"&lt;&gt;",Answers!$B$3:$B$400,"Finish",Answers!$A$3:$A$400,"&lt;&gt;EXAMPLE"),"")</f>
        <v/>
      </c>
    </row>
    <row r="53">
      <c r="A53" s="5" t="inlineStr">
        <is>
          <t>Would you tell a friend to take this course?  share answering "Yes"</t>
        </is>
      </c>
      <c r="C53" s="22">
        <f>IFERROR(COUNTIFS(Answers!$AU$3:$AU$400,"Yes",Answers!$B$3:$B$400,"Finish",Answers!$A$3:$A$400,"&lt;&gt;EXAMPLE")/COUNTIFS(Answers!$AU$3:$AU$400,"&lt;&gt;",Answers!$B$3:$B$400,"Finish",Answers!$A$3:$A$400,"&lt;&gt;EXAMPLE"),"")</f>
        <v/>
      </c>
    </row>
    <row r="54">
      <c r="A54" s="5" t="inlineStr">
        <is>
          <t>Would you tell a friend to take this course?  share answering "No"</t>
        </is>
      </c>
      <c r="C54" s="22">
        <f>IFERROR(COUNTIFS(Answers!$AU$3:$AU$400,"No",Answers!$B$3:$B$400,"Finish",Answers!$A$3:$A$400,"&lt;&gt;EXAMPLE")/COUNTIFS(Answers!$AU$3:$AU$400,"&lt;&gt;",Answers!$B$3:$B$400,"Finish",Answers!$A$3:$A$400,"&lt;&gt;EXAMPLE"),"")</f>
        <v/>
      </c>
    </row>
    <row r="55">
      <c r="A55" s="5" t="inlineStr">
        <is>
          <t>Do you want to keep learning robotics or coding?  share answering "Yes"</t>
        </is>
      </c>
      <c r="C55" s="22">
        <f>IFERROR(COUNTIFS(Answers!$AV$3:$AV$400,"Yes",Answers!$B$3:$B$400,"Finish",Answers!$A$3:$A$400,"&lt;&gt;EXAMPLE")/COUNTIFS(Answers!$AV$3:$AV$400,"&lt;&gt;",Answers!$B$3:$B$400,"Finish",Answers!$A$3:$A$400,"&lt;&gt;EXAMPLE"),"")</f>
        <v/>
      </c>
    </row>
    <row r="56">
      <c r="A56" s="5" t="inlineStr">
        <is>
          <t>Do you want to keep learning robotics or coding?  share answering "No"</t>
        </is>
      </c>
      <c r="C56" s="22">
        <f>IFERROR(COUNTIFS(Answers!$AV$3:$AV$400,"No",Answers!$B$3:$B$400,"Finish",Answers!$A$3:$A$400,"&lt;&gt;EXAMPLE")/COUNTIFS(Answers!$AV$3:$AV$400,"&lt;&gt;",Answers!$B$3:$B$400,"Finish",Answers!$A$3:$A$400,"&lt;&gt;EXAMPLE"),"")</f>
        <v/>
      </c>
    </row>
    <row r="59">
      <c r="A59" s="7" t="inlineStr">
        <is>
          <t>Chart data (worked out from the tables above)</t>
        </is>
      </c>
    </row>
    <row r="60">
      <c r="B60" s="5" t="inlineStr">
        <is>
          <t>Start</t>
        </is>
      </c>
      <c r="C60" s="5" t="inlineStr">
        <is>
          <t>Halfway</t>
        </is>
      </c>
      <c r="D60" s="5" t="inlineStr">
        <is>
          <t>Finish</t>
        </is>
      </c>
    </row>
    <row r="61">
      <c r="A61" s="5" t="inlineStr">
        <is>
          <t>Confidence</t>
        </is>
      </c>
      <c r="B61" s="18">
        <f>B8</f>
        <v/>
      </c>
      <c r="C61" s="18">
        <f>C8</f>
        <v/>
      </c>
      <c r="D61" s="18">
        <f>D8</f>
        <v/>
      </c>
    </row>
    <row r="62">
      <c r="A62" s="5" t="inlineStr">
        <is>
          <t>Never give up</t>
        </is>
      </c>
      <c r="B62" s="18">
        <f>B12</f>
        <v/>
      </c>
      <c r="C62" s="18">
        <f>C12</f>
        <v/>
      </c>
      <c r="D62" s="18">
        <f>D12</f>
        <v/>
      </c>
    </row>
    <row r="63">
      <c r="A63" s="5" t="inlineStr">
        <is>
          <t>Teamwork</t>
        </is>
      </c>
      <c r="B63" s="18">
        <f>B14</f>
        <v/>
      </c>
      <c r="C63" s="18">
        <f>C14</f>
        <v/>
      </c>
      <c r="D63" s="18">
        <f>D14</f>
        <v/>
      </c>
    </row>
    <row r="64">
      <c r="A64" s="5" t="inlineStr">
        <is>
          <t>Interest</t>
        </is>
      </c>
      <c r="B64" s="18">
        <f>B17</f>
        <v/>
      </c>
      <c r="C64" s="18">
        <f>C17</f>
        <v/>
      </c>
      <c r="D64" s="18">
        <f>D17</f>
        <v/>
      </c>
    </row>
  </sheetData>
  <mergeCells count="3">
    <mergeCell ref="E32:F32"/>
    <mergeCell ref="E7:F7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4" t="inlineStr">
        <is>
          <t>Each student, start to finish</t>
        </is>
      </c>
    </row>
    <row r="2">
      <c r="A2" s="7" t="inlineStr">
        <is>
          <t>Type each Explorer code once in column A (yellow). The rest fills itself in from the Answers sheet.</t>
        </is>
      </c>
    </row>
    <row r="3" ht="30" customHeight="1">
      <c r="A3" s="11" t="inlineStr">
        <is>
          <t>Explorer code</t>
        </is>
      </c>
      <c r="B3" s="11" t="inlineStr">
        <is>
          <t>About me, average of A1 to A8 (1 to 4)</t>
        </is>
      </c>
      <c r="F3" s="11" t="inlineStr">
        <is>
          <t>Part 2, questions right (out of 8)</t>
        </is>
      </c>
    </row>
    <row r="4">
      <c r="B4" s="11" t="inlineStr">
        <is>
          <t>Start</t>
        </is>
      </c>
      <c r="C4" s="11" t="inlineStr">
        <is>
          <t>Halfway</t>
        </is>
      </c>
      <c r="D4" s="11" t="inlineStr">
        <is>
          <t>Finish</t>
        </is>
      </c>
      <c r="E4" s="11" t="inlineStr">
        <is>
          <t>Change</t>
        </is>
      </c>
      <c r="F4" s="11" t="inlineStr">
        <is>
          <t>Start</t>
        </is>
      </c>
      <c r="G4" s="11" t="inlineStr">
        <is>
          <t>Halfway</t>
        </is>
      </c>
      <c r="H4" s="11" t="inlineStr">
        <is>
          <t>Finish</t>
        </is>
      </c>
      <c r="I4" s="11" t="inlineStr">
        <is>
          <t>Change</t>
        </is>
      </c>
    </row>
    <row r="5">
      <c r="A5" s="25" t="inlineStr">
        <is>
          <t>EXAMPLE</t>
        </is>
      </c>
      <c r="B5" s="18">
        <f>IF($A5="","",IFERROR(SUMPRODUCT((Answers!$A$3:$A$400=$A5)*(Answers!$B$3:$B$400="Start")*Answers!$D$3:$K$400)/SUMPRODUCT((Answers!$A$3:$A$400=$A5)*(Answers!$B$3:$B$400="Start")*(Answers!$D$3:$K$400&lt;&gt;"")),""))</f>
        <v/>
      </c>
      <c r="C5" s="18">
        <f>IF($A5="","",IFERROR(SUMPRODUCT((Answers!$A$3:$A$400=$A5)*(Answers!$B$3:$B$400="Halfway")*Answers!$D$3:$K$400)/SUMPRODUCT((Answers!$A$3:$A$400=$A5)*(Answers!$B$3:$B$400="Halfway")*(Answers!$D$3:$K$400&lt;&gt;"")),""))</f>
        <v/>
      </c>
      <c r="D5" s="18">
        <f>IF($A5="","",IFERROR(SUMPRODUCT((Answers!$A$3:$A$400=$A5)*(Answers!$B$3:$B$400="Finish")*Answers!$D$3:$K$400)/SUMPRODUCT((Answers!$A$3:$A$400=$A5)*(Answers!$B$3:$B$400="Finish")*(Answers!$D$3:$K$400&lt;&gt;"")),""))</f>
        <v/>
      </c>
      <c r="E5" s="19">
        <f>IF(OR(B5="",D5=""),"",D5-B5)</f>
        <v/>
      </c>
      <c r="F5" s="5">
        <f>IF($A5="","",IF(COUNTIFS(Answers!$A$3:$A$400,$A5,Answers!$B$3:$B$400,"Start")=0,"",SUMPRODUCT((Answers!$A$3:$A$400=$A5)*(Answers!$B$3:$B$400="Start")*Answers!$L$3:$S$400)))</f>
        <v/>
      </c>
      <c r="G5" s="5">
        <f>IF($A5="","",IF(COUNTIFS(Answers!$A$3:$A$400,$A5,Answers!$B$3:$B$400,"Halfway")=0,"",SUMPRODUCT((Answers!$A$3:$A$400=$A5)*(Answers!$B$3:$B$400="Halfway")*Answers!$L$3:$S$400)))</f>
        <v/>
      </c>
      <c r="H5" s="5">
        <f>IF($A5="","",IF(COUNTIFS(Answers!$A$3:$A$400,$A5,Answers!$B$3:$B$400,"Finish")=0,"",SUMPRODUCT((Answers!$A$3:$A$400=$A5)*(Answers!$B$3:$B$400="Finish")*Answers!$L$3:$S$400)))</f>
        <v/>
      </c>
      <c r="I5" s="26">
        <f>IF(OR(F5="",H5=""),"",H5-F5)</f>
        <v/>
      </c>
    </row>
    <row r="6">
      <c r="A6" s="13" t="n"/>
      <c r="B6" s="18">
        <f>IF($A6="","",IFERROR(SUMPRODUCT((Answers!$A$3:$A$400=$A6)*(Answers!$B$3:$B$400="Start")*Answers!$D$3:$K$400)/SUMPRODUCT((Answers!$A$3:$A$400=$A6)*(Answers!$B$3:$B$400="Start")*(Answers!$D$3:$K$400&lt;&gt;"")),""))</f>
        <v/>
      </c>
      <c r="C6" s="18">
        <f>IF($A6="","",IFERROR(SUMPRODUCT((Answers!$A$3:$A$400=$A6)*(Answers!$B$3:$B$400="Halfway")*Answers!$D$3:$K$400)/SUMPRODUCT((Answers!$A$3:$A$400=$A6)*(Answers!$B$3:$B$400="Halfway")*(Answers!$D$3:$K$400&lt;&gt;"")),""))</f>
        <v/>
      </c>
      <c r="D6" s="18">
        <f>IF($A6="","",IFERROR(SUMPRODUCT((Answers!$A$3:$A$400=$A6)*(Answers!$B$3:$B$400="Finish")*Answers!$D$3:$K$400)/SUMPRODUCT((Answers!$A$3:$A$400=$A6)*(Answers!$B$3:$B$400="Finish")*(Answers!$D$3:$K$400&lt;&gt;"")),""))</f>
        <v/>
      </c>
      <c r="E6" s="19">
        <f>IF(OR(B6="",D6=""),"",D6-B6)</f>
        <v/>
      </c>
      <c r="F6" s="5">
        <f>IF($A6="","",IF(COUNTIFS(Answers!$A$3:$A$400,$A6,Answers!$B$3:$B$400,"Start")=0,"",SUMPRODUCT((Answers!$A$3:$A$400=$A6)*(Answers!$B$3:$B$400="Start")*Answers!$L$3:$S$400)))</f>
        <v/>
      </c>
      <c r="G6" s="5">
        <f>IF($A6="","",IF(COUNTIFS(Answers!$A$3:$A$400,$A6,Answers!$B$3:$B$400,"Halfway")=0,"",SUMPRODUCT((Answers!$A$3:$A$400=$A6)*(Answers!$B$3:$B$400="Halfway")*Answers!$L$3:$S$400)))</f>
        <v/>
      </c>
      <c r="H6" s="5">
        <f>IF($A6="","",IF(COUNTIFS(Answers!$A$3:$A$400,$A6,Answers!$B$3:$B$400,"Finish")=0,"",SUMPRODUCT((Answers!$A$3:$A$400=$A6)*(Answers!$B$3:$B$400="Finish")*Answers!$L$3:$S$400)))</f>
        <v/>
      </c>
      <c r="I6" s="26">
        <f>IF(OR(F6="",H6=""),"",H6-F6)</f>
        <v/>
      </c>
    </row>
    <row r="7">
      <c r="A7" s="13" t="n"/>
      <c r="B7" s="18">
        <f>IF($A7="","",IFERROR(SUMPRODUCT((Answers!$A$3:$A$400=$A7)*(Answers!$B$3:$B$400="Start")*Answers!$D$3:$K$400)/SUMPRODUCT((Answers!$A$3:$A$400=$A7)*(Answers!$B$3:$B$400="Start")*(Answers!$D$3:$K$400&lt;&gt;"")),""))</f>
        <v/>
      </c>
      <c r="C7" s="18">
        <f>IF($A7="","",IFERROR(SUMPRODUCT((Answers!$A$3:$A$400=$A7)*(Answers!$B$3:$B$400="Halfway")*Answers!$D$3:$K$400)/SUMPRODUCT((Answers!$A$3:$A$400=$A7)*(Answers!$B$3:$B$400="Halfway")*(Answers!$D$3:$K$400&lt;&gt;"")),""))</f>
        <v/>
      </c>
      <c r="D7" s="18">
        <f>IF($A7="","",IFERROR(SUMPRODUCT((Answers!$A$3:$A$400=$A7)*(Answers!$B$3:$B$400="Finish")*Answers!$D$3:$K$400)/SUMPRODUCT((Answers!$A$3:$A$400=$A7)*(Answers!$B$3:$B$400="Finish")*(Answers!$D$3:$K$400&lt;&gt;"")),""))</f>
        <v/>
      </c>
      <c r="E7" s="19">
        <f>IF(OR(B7="",D7=""),"",D7-B7)</f>
        <v/>
      </c>
      <c r="F7" s="5">
        <f>IF($A7="","",IF(COUNTIFS(Answers!$A$3:$A$400,$A7,Answers!$B$3:$B$400,"Start")=0,"",SUMPRODUCT((Answers!$A$3:$A$400=$A7)*(Answers!$B$3:$B$400="Start")*Answers!$L$3:$S$400)))</f>
        <v/>
      </c>
      <c r="G7" s="5">
        <f>IF($A7="","",IF(COUNTIFS(Answers!$A$3:$A$400,$A7,Answers!$B$3:$B$400,"Halfway")=0,"",SUMPRODUCT((Answers!$A$3:$A$400=$A7)*(Answers!$B$3:$B$400="Halfway")*Answers!$L$3:$S$400)))</f>
        <v/>
      </c>
      <c r="H7" s="5">
        <f>IF($A7="","",IF(COUNTIFS(Answers!$A$3:$A$400,$A7,Answers!$B$3:$B$400,"Finish")=0,"",SUMPRODUCT((Answers!$A$3:$A$400=$A7)*(Answers!$B$3:$B$400="Finish")*Answers!$L$3:$S$400)))</f>
        <v/>
      </c>
      <c r="I7" s="26">
        <f>IF(OR(F7="",H7=""),"",H7-F7)</f>
        <v/>
      </c>
    </row>
    <row r="8">
      <c r="A8" s="13" t="n"/>
      <c r="B8" s="18">
        <f>IF($A8="","",IFERROR(SUMPRODUCT((Answers!$A$3:$A$400=$A8)*(Answers!$B$3:$B$400="Start")*Answers!$D$3:$K$400)/SUMPRODUCT((Answers!$A$3:$A$400=$A8)*(Answers!$B$3:$B$400="Start")*(Answers!$D$3:$K$400&lt;&gt;"")),""))</f>
        <v/>
      </c>
      <c r="C8" s="18">
        <f>IF($A8="","",IFERROR(SUMPRODUCT((Answers!$A$3:$A$400=$A8)*(Answers!$B$3:$B$400="Halfway")*Answers!$D$3:$K$400)/SUMPRODUCT((Answers!$A$3:$A$400=$A8)*(Answers!$B$3:$B$400="Halfway")*(Answers!$D$3:$K$400&lt;&gt;"")),""))</f>
        <v/>
      </c>
      <c r="D8" s="18">
        <f>IF($A8="","",IFERROR(SUMPRODUCT((Answers!$A$3:$A$400=$A8)*(Answers!$B$3:$B$400="Finish")*Answers!$D$3:$K$400)/SUMPRODUCT((Answers!$A$3:$A$400=$A8)*(Answers!$B$3:$B$400="Finish")*(Answers!$D$3:$K$400&lt;&gt;"")),""))</f>
        <v/>
      </c>
      <c r="E8" s="19">
        <f>IF(OR(B8="",D8=""),"",D8-B8)</f>
        <v/>
      </c>
      <c r="F8" s="5">
        <f>IF($A8="","",IF(COUNTIFS(Answers!$A$3:$A$400,$A8,Answers!$B$3:$B$400,"Start")=0,"",SUMPRODUCT((Answers!$A$3:$A$400=$A8)*(Answers!$B$3:$B$400="Start")*Answers!$L$3:$S$400)))</f>
        <v/>
      </c>
      <c r="G8" s="5">
        <f>IF($A8="","",IF(COUNTIFS(Answers!$A$3:$A$400,$A8,Answers!$B$3:$B$400,"Halfway")=0,"",SUMPRODUCT((Answers!$A$3:$A$400=$A8)*(Answers!$B$3:$B$400="Halfway")*Answers!$L$3:$S$400)))</f>
        <v/>
      </c>
      <c r="H8" s="5">
        <f>IF($A8="","",IF(COUNTIFS(Answers!$A$3:$A$400,$A8,Answers!$B$3:$B$400,"Finish")=0,"",SUMPRODUCT((Answers!$A$3:$A$400=$A8)*(Answers!$B$3:$B$400="Finish")*Answers!$L$3:$S$400)))</f>
        <v/>
      </c>
      <c r="I8" s="26">
        <f>IF(OR(F8="",H8=""),"",H8-F8)</f>
        <v/>
      </c>
    </row>
    <row r="9">
      <c r="A9" s="13" t="n"/>
      <c r="B9" s="18">
        <f>IF($A9="","",IFERROR(SUMPRODUCT((Answers!$A$3:$A$400=$A9)*(Answers!$B$3:$B$400="Start")*Answers!$D$3:$K$400)/SUMPRODUCT((Answers!$A$3:$A$400=$A9)*(Answers!$B$3:$B$400="Start")*(Answers!$D$3:$K$400&lt;&gt;"")),""))</f>
        <v/>
      </c>
      <c r="C9" s="18">
        <f>IF($A9="","",IFERROR(SUMPRODUCT((Answers!$A$3:$A$400=$A9)*(Answers!$B$3:$B$400="Halfway")*Answers!$D$3:$K$400)/SUMPRODUCT((Answers!$A$3:$A$400=$A9)*(Answers!$B$3:$B$400="Halfway")*(Answers!$D$3:$K$400&lt;&gt;"")),""))</f>
        <v/>
      </c>
      <c r="D9" s="18">
        <f>IF($A9="","",IFERROR(SUMPRODUCT((Answers!$A$3:$A$400=$A9)*(Answers!$B$3:$B$400="Finish")*Answers!$D$3:$K$400)/SUMPRODUCT((Answers!$A$3:$A$400=$A9)*(Answers!$B$3:$B$400="Finish")*(Answers!$D$3:$K$400&lt;&gt;"")),""))</f>
        <v/>
      </c>
      <c r="E9" s="19">
        <f>IF(OR(B9="",D9=""),"",D9-B9)</f>
        <v/>
      </c>
      <c r="F9" s="5">
        <f>IF($A9="","",IF(COUNTIFS(Answers!$A$3:$A$400,$A9,Answers!$B$3:$B$400,"Start")=0,"",SUMPRODUCT((Answers!$A$3:$A$400=$A9)*(Answers!$B$3:$B$400="Start")*Answers!$L$3:$S$400)))</f>
        <v/>
      </c>
      <c r="G9" s="5">
        <f>IF($A9="","",IF(COUNTIFS(Answers!$A$3:$A$400,$A9,Answers!$B$3:$B$400,"Halfway")=0,"",SUMPRODUCT((Answers!$A$3:$A$400=$A9)*(Answers!$B$3:$B$400="Halfway")*Answers!$L$3:$S$400)))</f>
        <v/>
      </c>
      <c r="H9" s="5">
        <f>IF($A9="","",IF(COUNTIFS(Answers!$A$3:$A$400,$A9,Answers!$B$3:$B$400,"Finish")=0,"",SUMPRODUCT((Answers!$A$3:$A$400=$A9)*(Answers!$B$3:$B$400="Finish")*Answers!$L$3:$S$400)))</f>
        <v/>
      </c>
      <c r="I9" s="26">
        <f>IF(OR(F9="",H9=""),"",H9-F9)</f>
        <v/>
      </c>
    </row>
    <row r="10">
      <c r="A10" s="13" t="n"/>
      <c r="B10" s="18">
        <f>IF($A10="","",IFERROR(SUMPRODUCT((Answers!$A$3:$A$400=$A10)*(Answers!$B$3:$B$400="Start")*Answers!$D$3:$K$400)/SUMPRODUCT((Answers!$A$3:$A$400=$A10)*(Answers!$B$3:$B$400="Start")*(Answers!$D$3:$K$400&lt;&gt;"")),""))</f>
        <v/>
      </c>
      <c r="C10" s="18">
        <f>IF($A10="","",IFERROR(SUMPRODUCT((Answers!$A$3:$A$400=$A10)*(Answers!$B$3:$B$400="Halfway")*Answers!$D$3:$K$400)/SUMPRODUCT((Answers!$A$3:$A$400=$A10)*(Answers!$B$3:$B$400="Halfway")*(Answers!$D$3:$K$400&lt;&gt;"")),""))</f>
        <v/>
      </c>
      <c r="D10" s="18">
        <f>IF($A10="","",IFERROR(SUMPRODUCT((Answers!$A$3:$A$400=$A10)*(Answers!$B$3:$B$400="Finish")*Answers!$D$3:$K$400)/SUMPRODUCT((Answers!$A$3:$A$400=$A10)*(Answers!$B$3:$B$400="Finish")*(Answers!$D$3:$K$400&lt;&gt;"")),""))</f>
        <v/>
      </c>
      <c r="E10" s="19">
        <f>IF(OR(B10="",D10=""),"",D10-B10)</f>
        <v/>
      </c>
      <c r="F10" s="5">
        <f>IF($A10="","",IF(COUNTIFS(Answers!$A$3:$A$400,$A10,Answers!$B$3:$B$400,"Start")=0,"",SUMPRODUCT((Answers!$A$3:$A$400=$A10)*(Answers!$B$3:$B$400="Start")*Answers!$L$3:$S$400)))</f>
        <v/>
      </c>
      <c r="G10" s="5">
        <f>IF($A10="","",IF(COUNTIFS(Answers!$A$3:$A$400,$A10,Answers!$B$3:$B$400,"Halfway")=0,"",SUMPRODUCT((Answers!$A$3:$A$400=$A10)*(Answers!$B$3:$B$400="Halfway")*Answers!$L$3:$S$400)))</f>
        <v/>
      </c>
      <c r="H10" s="5">
        <f>IF($A10="","",IF(COUNTIFS(Answers!$A$3:$A$400,$A10,Answers!$B$3:$B$400,"Finish")=0,"",SUMPRODUCT((Answers!$A$3:$A$400=$A10)*(Answers!$B$3:$B$400="Finish")*Answers!$L$3:$S$400)))</f>
        <v/>
      </c>
      <c r="I10" s="26">
        <f>IF(OR(F10="",H10=""),"",H10-F10)</f>
        <v/>
      </c>
    </row>
    <row r="11">
      <c r="A11" s="13" t="n"/>
      <c r="B11" s="18">
        <f>IF($A11="","",IFERROR(SUMPRODUCT((Answers!$A$3:$A$400=$A11)*(Answers!$B$3:$B$400="Start")*Answers!$D$3:$K$400)/SUMPRODUCT((Answers!$A$3:$A$400=$A11)*(Answers!$B$3:$B$400="Start")*(Answers!$D$3:$K$400&lt;&gt;"")),""))</f>
        <v/>
      </c>
      <c r="C11" s="18">
        <f>IF($A11="","",IFERROR(SUMPRODUCT((Answers!$A$3:$A$400=$A11)*(Answers!$B$3:$B$400="Halfway")*Answers!$D$3:$K$400)/SUMPRODUCT((Answers!$A$3:$A$400=$A11)*(Answers!$B$3:$B$400="Halfway")*(Answers!$D$3:$K$400&lt;&gt;"")),""))</f>
        <v/>
      </c>
      <c r="D11" s="18">
        <f>IF($A11="","",IFERROR(SUMPRODUCT((Answers!$A$3:$A$400=$A11)*(Answers!$B$3:$B$400="Finish")*Answers!$D$3:$K$400)/SUMPRODUCT((Answers!$A$3:$A$400=$A11)*(Answers!$B$3:$B$400="Finish")*(Answers!$D$3:$K$400&lt;&gt;"")),""))</f>
        <v/>
      </c>
      <c r="E11" s="19">
        <f>IF(OR(B11="",D11=""),"",D11-B11)</f>
        <v/>
      </c>
      <c r="F11" s="5">
        <f>IF($A11="","",IF(COUNTIFS(Answers!$A$3:$A$400,$A11,Answers!$B$3:$B$400,"Start")=0,"",SUMPRODUCT((Answers!$A$3:$A$400=$A11)*(Answers!$B$3:$B$400="Start")*Answers!$L$3:$S$400)))</f>
        <v/>
      </c>
      <c r="G11" s="5">
        <f>IF($A11="","",IF(COUNTIFS(Answers!$A$3:$A$400,$A11,Answers!$B$3:$B$400,"Halfway")=0,"",SUMPRODUCT((Answers!$A$3:$A$400=$A11)*(Answers!$B$3:$B$400="Halfway")*Answers!$L$3:$S$400)))</f>
        <v/>
      </c>
      <c r="H11" s="5">
        <f>IF($A11="","",IF(COUNTIFS(Answers!$A$3:$A$400,$A11,Answers!$B$3:$B$400,"Finish")=0,"",SUMPRODUCT((Answers!$A$3:$A$400=$A11)*(Answers!$B$3:$B$400="Finish")*Answers!$L$3:$S$400)))</f>
        <v/>
      </c>
      <c r="I11" s="26">
        <f>IF(OR(F11="",H11=""),"",H11-F11)</f>
        <v/>
      </c>
    </row>
    <row r="12">
      <c r="A12" s="13" t="n"/>
      <c r="B12" s="18">
        <f>IF($A12="","",IFERROR(SUMPRODUCT((Answers!$A$3:$A$400=$A12)*(Answers!$B$3:$B$400="Start")*Answers!$D$3:$K$400)/SUMPRODUCT((Answers!$A$3:$A$400=$A12)*(Answers!$B$3:$B$400="Start")*(Answers!$D$3:$K$400&lt;&gt;"")),""))</f>
        <v/>
      </c>
      <c r="C12" s="18">
        <f>IF($A12="","",IFERROR(SUMPRODUCT((Answers!$A$3:$A$400=$A12)*(Answers!$B$3:$B$400="Halfway")*Answers!$D$3:$K$400)/SUMPRODUCT((Answers!$A$3:$A$400=$A12)*(Answers!$B$3:$B$400="Halfway")*(Answers!$D$3:$K$400&lt;&gt;"")),""))</f>
        <v/>
      </c>
      <c r="D12" s="18">
        <f>IF($A12="","",IFERROR(SUMPRODUCT((Answers!$A$3:$A$400=$A12)*(Answers!$B$3:$B$400="Finish")*Answers!$D$3:$K$400)/SUMPRODUCT((Answers!$A$3:$A$400=$A12)*(Answers!$B$3:$B$400="Finish")*(Answers!$D$3:$K$400&lt;&gt;"")),""))</f>
        <v/>
      </c>
      <c r="E12" s="19">
        <f>IF(OR(B12="",D12=""),"",D12-B12)</f>
        <v/>
      </c>
      <c r="F12" s="5">
        <f>IF($A12="","",IF(COUNTIFS(Answers!$A$3:$A$400,$A12,Answers!$B$3:$B$400,"Start")=0,"",SUMPRODUCT((Answers!$A$3:$A$400=$A12)*(Answers!$B$3:$B$400="Start")*Answers!$L$3:$S$400)))</f>
        <v/>
      </c>
      <c r="G12" s="5">
        <f>IF($A12="","",IF(COUNTIFS(Answers!$A$3:$A$400,$A12,Answers!$B$3:$B$400,"Halfway")=0,"",SUMPRODUCT((Answers!$A$3:$A$400=$A12)*(Answers!$B$3:$B$400="Halfway")*Answers!$L$3:$S$400)))</f>
        <v/>
      </c>
      <c r="H12" s="5">
        <f>IF($A12="","",IF(COUNTIFS(Answers!$A$3:$A$400,$A12,Answers!$B$3:$B$400,"Finish")=0,"",SUMPRODUCT((Answers!$A$3:$A$400=$A12)*(Answers!$B$3:$B$400="Finish")*Answers!$L$3:$S$400)))</f>
        <v/>
      </c>
      <c r="I12" s="26">
        <f>IF(OR(F12="",H12=""),"",H12-F12)</f>
        <v/>
      </c>
    </row>
    <row r="13">
      <c r="A13" s="13" t="n"/>
      <c r="B13" s="18">
        <f>IF($A13="","",IFERROR(SUMPRODUCT((Answers!$A$3:$A$400=$A13)*(Answers!$B$3:$B$400="Start")*Answers!$D$3:$K$400)/SUMPRODUCT((Answers!$A$3:$A$400=$A13)*(Answers!$B$3:$B$400="Start")*(Answers!$D$3:$K$400&lt;&gt;"")),""))</f>
        <v/>
      </c>
      <c r="C13" s="18">
        <f>IF($A13="","",IFERROR(SUMPRODUCT((Answers!$A$3:$A$400=$A13)*(Answers!$B$3:$B$400="Halfway")*Answers!$D$3:$K$400)/SUMPRODUCT((Answers!$A$3:$A$400=$A13)*(Answers!$B$3:$B$400="Halfway")*(Answers!$D$3:$K$400&lt;&gt;"")),""))</f>
        <v/>
      </c>
      <c r="D13" s="18">
        <f>IF($A13="","",IFERROR(SUMPRODUCT((Answers!$A$3:$A$400=$A13)*(Answers!$B$3:$B$400="Finish")*Answers!$D$3:$K$400)/SUMPRODUCT((Answers!$A$3:$A$400=$A13)*(Answers!$B$3:$B$400="Finish")*(Answers!$D$3:$K$400&lt;&gt;"")),""))</f>
        <v/>
      </c>
      <c r="E13" s="19">
        <f>IF(OR(B13="",D13=""),"",D13-B13)</f>
        <v/>
      </c>
      <c r="F13" s="5">
        <f>IF($A13="","",IF(COUNTIFS(Answers!$A$3:$A$400,$A13,Answers!$B$3:$B$400,"Start")=0,"",SUMPRODUCT((Answers!$A$3:$A$400=$A13)*(Answers!$B$3:$B$400="Start")*Answers!$L$3:$S$400)))</f>
        <v/>
      </c>
      <c r="G13" s="5">
        <f>IF($A13="","",IF(COUNTIFS(Answers!$A$3:$A$400,$A13,Answers!$B$3:$B$400,"Halfway")=0,"",SUMPRODUCT((Answers!$A$3:$A$400=$A13)*(Answers!$B$3:$B$400="Halfway")*Answers!$L$3:$S$400)))</f>
        <v/>
      </c>
      <c r="H13" s="5">
        <f>IF($A13="","",IF(COUNTIFS(Answers!$A$3:$A$400,$A13,Answers!$B$3:$B$400,"Finish")=0,"",SUMPRODUCT((Answers!$A$3:$A$400=$A13)*(Answers!$B$3:$B$400="Finish")*Answers!$L$3:$S$400)))</f>
        <v/>
      </c>
      <c r="I13" s="26">
        <f>IF(OR(F13="",H13=""),"",H13-F13)</f>
        <v/>
      </c>
    </row>
    <row r="14">
      <c r="A14" s="13" t="n"/>
      <c r="B14" s="18">
        <f>IF($A14="","",IFERROR(SUMPRODUCT((Answers!$A$3:$A$400=$A14)*(Answers!$B$3:$B$400="Start")*Answers!$D$3:$K$400)/SUMPRODUCT((Answers!$A$3:$A$400=$A14)*(Answers!$B$3:$B$400="Start")*(Answers!$D$3:$K$400&lt;&gt;"")),""))</f>
        <v/>
      </c>
      <c r="C14" s="18">
        <f>IF($A14="","",IFERROR(SUMPRODUCT((Answers!$A$3:$A$400=$A14)*(Answers!$B$3:$B$400="Halfway")*Answers!$D$3:$K$400)/SUMPRODUCT((Answers!$A$3:$A$400=$A14)*(Answers!$B$3:$B$400="Halfway")*(Answers!$D$3:$K$400&lt;&gt;"")),""))</f>
        <v/>
      </c>
      <c r="D14" s="18">
        <f>IF($A14="","",IFERROR(SUMPRODUCT((Answers!$A$3:$A$400=$A14)*(Answers!$B$3:$B$400="Finish")*Answers!$D$3:$K$400)/SUMPRODUCT((Answers!$A$3:$A$400=$A14)*(Answers!$B$3:$B$400="Finish")*(Answers!$D$3:$K$400&lt;&gt;"")),""))</f>
        <v/>
      </c>
      <c r="E14" s="19">
        <f>IF(OR(B14="",D14=""),"",D14-B14)</f>
        <v/>
      </c>
      <c r="F14" s="5">
        <f>IF($A14="","",IF(COUNTIFS(Answers!$A$3:$A$400,$A14,Answers!$B$3:$B$400,"Start")=0,"",SUMPRODUCT((Answers!$A$3:$A$400=$A14)*(Answers!$B$3:$B$400="Start")*Answers!$L$3:$S$400)))</f>
        <v/>
      </c>
      <c r="G14" s="5">
        <f>IF($A14="","",IF(COUNTIFS(Answers!$A$3:$A$400,$A14,Answers!$B$3:$B$400,"Halfway")=0,"",SUMPRODUCT((Answers!$A$3:$A$400=$A14)*(Answers!$B$3:$B$400="Halfway")*Answers!$L$3:$S$400)))</f>
        <v/>
      </c>
      <c r="H14" s="5">
        <f>IF($A14="","",IF(COUNTIFS(Answers!$A$3:$A$400,$A14,Answers!$B$3:$B$400,"Finish")=0,"",SUMPRODUCT((Answers!$A$3:$A$400=$A14)*(Answers!$B$3:$B$400="Finish")*Answers!$L$3:$S$400)))</f>
        <v/>
      </c>
      <c r="I14" s="26">
        <f>IF(OR(F14="",H14=""),"",H14-F14)</f>
        <v/>
      </c>
    </row>
    <row r="15">
      <c r="A15" s="13" t="n"/>
      <c r="B15" s="18">
        <f>IF($A15="","",IFERROR(SUMPRODUCT((Answers!$A$3:$A$400=$A15)*(Answers!$B$3:$B$400="Start")*Answers!$D$3:$K$400)/SUMPRODUCT((Answers!$A$3:$A$400=$A15)*(Answers!$B$3:$B$400="Start")*(Answers!$D$3:$K$400&lt;&gt;"")),""))</f>
        <v/>
      </c>
      <c r="C15" s="18">
        <f>IF($A15="","",IFERROR(SUMPRODUCT((Answers!$A$3:$A$400=$A15)*(Answers!$B$3:$B$400="Halfway")*Answers!$D$3:$K$400)/SUMPRODUCT((Answers!$A$3:$A$400=$A15)*(Answers!$B$3:$B$400="Halfway")*(Answers!$D$3:$K$400&lt;&gt;"")),""))</f>
        <v/>
      </c>
      <c r="D15" s="18">
        <f>IF($A15="","",IFERROR(SUMPRODUCT((Answers!$A$3:$A$400=$A15)*(Answers!$B$3:$B$400="Finish")*Answers!$D$3:$K$400)/SUMPRODUCT((Answers!$A$3:$A$400=$A15)*(Answers!$B$3:$B$400="Finish")*(Answers!$D$3:$K$400&lt;&gt;"")),""))</f>
        <v/>
      </c>
      <c r="E15" s="19">
        <f>IF(OR(B15="",D15=""),"",D15-B15)</f>
        <v/>
      </c>
      <c r="F15" s="5">
        <f>IF($A15="","",IF(COUNTIFS(Answers!$A$3:$A$400,$A15,Answers!$B$3:$B$400,"Start")=0,"",SUMPRODUCT((Answers!$A$3:$A$400=$A15)*(Answers!$B$3:$B$400="Start")*Answers!$L$3:$S$400)))</f>
        <v/>
      </c>
      <c r="G15" s="5">
        <f>IF($A15="","",IF(COUNTIFS(Answers!$A$3:$A$400,$A15,Answers!$B$3:$B$400,"Halfway")=0,"",SUMPRODUCT((Answers!$A$3:$A$400=$A15)*(Answers!$B$3:$B$400="Halfway")*Answers!$L$3:$S$400)))</f>
        <v/>
      </c>
      <c r="H15" s="5">
        <f>IF($A15="","",IF(COUNTIFS(Answers!$A$3:$A$400,$A15,Answers!$B$3:$B$400,"Finish")=0,"",SUMPRODUCT((Answers!$A$3:$A$400=$A15)*(Answers!$B$3:$B$400="Finish")*Answers!$L$3:$S$400)))</f>
        <v/>
      </c>
      <c r="I15" s="26">
        <f>IF(OR(F15="",H15=""),"",H15-F15)</f>
        <v/>
      </c>
    </row>
    <row r="16">
      <c r="A16" s="13" t="n"/>
      <c r="B16" s="18">
        <f>IF($A16="","",IFERROR(SUMPRODUCT((Answers!$A$3:$A$400=$A16)*(Answers!$B$3:$B$400="Start")*Answers!$D$3:$K$400)/SUMPRODUCT((Answers!$A$3:$A$400=$A16)*(Answers!$B$3:$B$400="Start")*(Answers!$D$3:$K$400&lt;&gt;"")),""))</f>
        <v/>
      </c>
      <c r="C16" s="18">
        <f>IF($A16="","",IFERROR(SUMPRODUCT((Answers!$A$3:$A$400=$A16)*(Answers!$B$3:$B$400="Halfway")*Answers!$D$3:$K$400)/SUMPRODUCT((Answers!$A$3:$A$400=$A16)*(Answers!$B$3:$B$400="Halfway")*(Answers!$D$3:$K$400&lt;&gt;"")),""))</f>
        <v/>
      </c>
      <c r="D16" s="18">
        <f>IF($A16="","",IFERROR(SUMPRODUCT((Answers!$A$3:$A$400=$A16)*(Answers!$B$3:$B$400="Finish")*Answers!$D$3:$K$400)/SUMPRODUCT((Answers!$A$3:$A$400=$A16)*(Answers!$B$3:$B$400="Finish")*(Answers!$D$3:$K$400&lt;&gt;"")),""))</f>
        <v/>
      </c>
      <c r="E16" s="19">
        <f>IF(OR(B16="",D16=""),"",D16-B16)</f>
        <v/>
      </c>
      <c r="F16" s="5">
        <f>IF($A16="","",IF(COUNTIFS(Answers!$A$3:$A$400,$A16,Answers!$B$3:$B$400,"Start")=0,"",SUMPRODUCT((Answers!$A$3:$A$400=$A16)*(Answers!$B$3:$B$400="Start")*Answers!$L$3:$S$400)))</f>
        <v/>
      </c>
      <c r="G16" s="5">
        <f>IF($A16="","",IF(COUNTIFS(Answers!$A$3:$A$400,$A16,Answers!$B$3:$B$400,"Halfway")=0,"",SUMPRODUCT((Answers!$A$3:$A$400=$A16)*(Answers!$B$3:$B$400="Halfway")*Answers!$L$3:$S$400)))</f>
        <v/>
      </c>
      <c r="H16" s="5">
        <f>IF($A16="","",IF(COUNTIFS(Answers!$A$3:$A$400,$A16,Answers!$B$3:$B$400,"Finish")=0,"",SUMPRODUCT((Answers!$A$3:$A$400=$A16)*(Answers!$B$3:$B$400="Finish")*Answers!$L$3:$S$400)))</f>
        <v/>
      </c>
      <c r="I16" s="26">
        <f>IF(OR(F16="",H16=""),"",H16-F16)</f>
        <v/>
      </c>
    </row>
    <row r="17">
      <c r="A17" s="13" t="n"/>
      <c r="B17" s="18">
        <f>IF($A17="","",IFERROR(SUMPRODUCT((Answers!$A$3:$A$400=$A17)*(Answers!$B$3:$B$400="Start")*Answers!$D$3:$K$400)/SUMPRODUCT((Answers!$A$3:$A$400=$A17)*(Answers!$B$3:$B$400="Start")*(Answers!$D$3:$K$400&lt;&gt;"")),""))</f>
        <v/>
      </c>
      <c r="C17" s="18">
        <f>IF($A17="","",IFERROR(SUMPRODUCT((Answers!$A$3:$A$400=$A17)*(Answers!$B$3:$B$400="Halfway")*Answers!$D$3:$K$400)/SUMPRODUCT((Answers!$A$3:$A$400=$A17)*(Answers!$B$3:$B$400="Halfway")*(Answers!$D$3:$K$400&lt;&gt;"")),""))</f>
        <v/>
      </c>
      <c r="D17" s="18">
        <f>IF($A17="","",IFERROR(SUMPRODUCT((Answers!$A$3:$A$400=$A17)*(Answers!$B$3:$B$400="Finish")*Answers!$D$3:$K$400)/SUMPRODUCT((Answers!$A$3:$A$400=$A17)*(Answers!$B$3:$B$400="Finish")*(Answers!$D$3:$K$400&lt;&gt;"")),""))</f>
        <v/>
      </c>
      <c r="E17" s="19">
        <f>IF(OR(B17="",D17=""),"",D17-B17)</f>
        <v/>
      </c>
      <c r="F17" s="5">
        <f>IF($A17="","",IF(COUNTIFS(Answers!$A$3:$A$400,$A17,Answers!$B$3:$B$400,"Start")=0,"",SUMPRODUCT((Answers!$A$3:$A$400=$A17)*(Answers!$B$3:$B$400="Start")*Answers!$L$3:$S$400)))</f>
        <v/>
      </c>
      <c r="G17" s="5">
        <f>IF($A17="","",IF(COUNTIFS(Answers!$A$3:$A$400,$A17,Answers!$B$3:$B$400,"Halfway")=0,"",SUMPRODUCT((Answers!$A$3:$A$400=$A17)*(Answers!$B$3:$B$400="Halfway")*Answers!$L$3:$S$400)))</f>
        <v/>
      </c>
      <c r="H17" s="5">
        <f>IF($A17="","",IF(COUNTIFS(Answers!$A$3:$A$400,$A17,Answers!$B$3:$B$400,"Finish")=0,"",SUMPRODUCT((Answers!$A$3:$A$400=$A17)*(Answers!$B$3:$B$400="Finish")*Answers!$L$3:$S$400)))</f>
        <v/>
      </c>
      <c r="I17" s="26">
        <f>IF(OR(F17="",H17=""),"",H17-F17)</f>
        <v/>
      </c>
    </row>
    <row r="18">
      <c r="A18" s="13" t="n"/>
      <c r="B18" s="18">
        <f>IF($A18="","",IFERROR(SUMPRODUCT((Answers!$A$3:$A$400=$A18)*(Answers!$B$3:$B$400="Start")*Answers!$D$3:$K$400)/SUMPRODUCT((Answers!$A$3:$A$400=$A18)*(Answers!$B$3:$B$400="Start")*(Answers!$D$3:$K$400&lt;&gt;"")),""))</f>
        <v/>
      </c>
      <c r="C18" s="18">
        <f>IF($A18="","",IFERROR(SUMPRODUCT((Answers!$A$3:$A$400=$A18)*(Answers!$B$3:$B$400="Halfway")*Answers!$D$3:$K$400)/SUMPRODUCT((Answers!$A$3:$A$400=$A18)*(Answers!$B$3:$B$400="Halfway")*(Answers!$D$3:$K$400&lt;&gt;"")),""))</f>
        <v/>
      </c>
      <c r="D18" s="18">
        <f>IF($A18="","",IFERROR(SUMPRODUCT((Answers!$A$3:$A$400=$A18)*(Answers!$B$3:$B$400="Finish")*Answers!$D$3:$K$400)/SUMPRODUCT((Answers!$A$3:$A$400=$A18)*(Answers!$B$3:$B$400="Finish")*(Answers!$D$3:$K$400&lt;&gt;"")),""))</f>
        <v/>
      </c>
      <c r="E18" s="19">
        <f>IF(OR(B18="",D18=""),"",D18-B18)</f>
        <v/>
      </c>
      <c r="F18" s="5">
        <f>IF($A18="","",IF(COUNTIFS(Answers!$A$3:$A$400,$A18,Answers!$B$3:$B$400,"Start")=0,"",SUMPRODUCT((Answers!$A$3:$A$400=$A18)*(Answers!$B$3:$B$400="Start")*Answers!$L$3:$S$400)))</f>
        <v/>
      </c>
      <c r="G18" s="5">
        <f>IF($A18="","",IF(COUNTIFS(Answers!$A$3:$A$400,$A18,Answers!$B$3:$B$400,"Halfway")=0,"",SUMPRODUCT((Answers!$A$3:$A$400=$A18)*(Answers!$B$3:$B$400="Halfway")*Answers!$L$3:$S$400)))</f>
        <v/>
      </c>
      <c r="H18" s="5">
        <f>IF($A18="","",IF(COUNTIFS(Answers!$A$3:$A$400,$A18,Answers!$B$3:$B$400,"Finish")=0,"",SUMPRODUCT((Answers!$A$3:$A$400=$A18)*(Answers!$B$3:$B$400="Finish")*Answers!$L$3:$S$400)))</f>
        <v/>
      </c>
      <c r="I18" s="26">
        <f>IF(OR(F18="",H18=""),"",H18-F18)</f>
        <v/>
      </c>
    </row>
    <row r="19">
      <c r="A19" s="13" t="n"/>
      <c r="B19" s="18">
        <f>IF($A19="","",IFERROR(SUMPRODUCT((Answers!$A$3:$A$400=$A19)*(Answers!$B$3:$B$400="Start")*Answers!$D$3:$K$400)/SUMPRODUCT((Answers!$A$3:$A$400=$A19)*(Answers!$B$3:$B$400="Start")*(Answers!$D$3:$K$400&lt;&gt;"")),""))</f>
        <v/>
      </c>
      <c r="C19" s="18">
        <f>IF($A19="","",IFERROR(SUMPRODUCT((Answers!$A$3:$A$400=$A19)*(Answers!$B$3:$B$400="Halfway")*Answers!$D$3:$K$400)/SUMPRODUCT((Answers!$A$3:$A$400=$A19)*(Answers!$B$3:$B$400="Halfway")*(Answers!$D$3:$K$400&lt;&gt;"")),""))</f>
        <v/>
      </c>
      <c r="D19" s="18">
        <f>IF($A19="","",IFERROR(SUMPRODUCT((Answers!$A$3:$A$400=$A19)*(Answers!$B$3:$B$400="Finish")*Answers!$D$3:$K$400)/SUMPRODUCT((Answers!$A$3:$A$400=$A19)*(Answers!$B$3:$B$400="Finish")*(Answers!$D$3:$K$400&lt;&gt;"")),""))</f>
        <v/>
      </c>
      <c r="E19" s="19">
        <f>IF(OR(B19="",D19=""),"",D19-B19)</f>
        <v/>
      </c>
      <c r="F19" s="5">
        <f>IF($A19="","",IF(COUNTIFS(Answers!$A$3:$A$400,$A19,Answers!$B$3:$B$400,"Start")=0,"",SUMPRODUCT((Answers!$A$3:$A$400=$A19)*(Answers!$B$3:$B$400="Start")*Answers!$L$3:$S$400)))</f>
        <v/>
      </c>
      <c r="G19" s="5">
        <f>IF($A19="","",IF(COUNTIFS(Answers!$A$3:$A$400,$A19,Answers!$B$3:$B$400,"Halfway")=0,"",SUMPRODUCT((Answers!$A$3:$A$400=$A19)*(Answers!$B$3:$B$400="Halfway")*Answers!$L$3:$S$400)))</f>
        <v/>
      </c>
      <c r="H19" s="5">
        <f>IF($A19="","",IF(COUNTIFS(Answers!$A$3:$A$400,$A19,Answers!$B$3:$B$400,"Finish")=0,"",SUMPRODUCT((Answers!$A$3:$A$400=$A19)*(Answers!$B$3:$B$400="Finish")*Answers!$L$3:$S$400)))</f>
        <v/>
      </c>
      <c r="I19" s="26">
        <f>IF(OR(F19="",H19=""),"",H19-F19)</f>
        <v/>
      </c>
    </row>
    <row r="20">
      <c r="A20" s="13" t="n"/>
      <c r="B20" s="18">
        <f>IF($A20="","",IFERROR(SUMPRODUCT((Answers!$A$3:$A$400=$A20)*(Answers!$B$3:$B$400="Start")*Answers!$D$3:$K$400)/SUMPRODUCT((Answers!$A$3:$A$400=$A20)*(Answers!$B$3:$B$400="Start")*(Answers!$D$3:$K$400&lt;&gt;"")),""))</f>
        <v/>
      </c>
      <c r="C20" s="18">
        <f>IF($A20="","",IFERROR(SUMPRODUCT((Answers!$A$3:$A$400=$A20)*(Answers!$B$3:$B$400="Halfway")*Answers!$D$3:$K$400)/SUMPRODUCT((Answers!$A$3:$A$400=$A20)*(Answers!$B$3:$B$400="Halfway")*(Answers!$D$3:$K$400&lt;&gt;"")),""))</f>
        <v/>
      </c>
      <c r="D20" s="18">
        <f>IF($A20="","",IFERROR(SUMPRODUCT((Answers!$A$3:$A$400=$A20)*(Answers!$B$3:$B$400="Finish")*Answers!$D$3:$K$400)/SUMPRODUCT((Answers!$A$3:$A$400=$A20)*(Answers!$B$3:$B$400="Finish")*(Answers!$D$3:$K$400&lt;&gt;"")),""))</f>
        <v/>
      </c>
      <c r="E20" s="19">
        <f>IF(OR(B20="",D20=""),"",D20-B20)</f>
        <v/>
      </c>
      <c r="F20" s="5">
        <f>IF($A20="","",IF(COUNTIFS(Answers!$A$3:$A$400,$A20,Answers!$B$3:$B$400,"Start")=0,"",SUMPRODUCT((Answers!$A$3:$A$400=$A20)*(Answers!$B$3:$B$400="Start")*Answers!$L$3:$S$400)))</f>
        <v/>
      </c>
      <c r="G20" s="5">
        <f>IF($A20="","",IF(COUNTIFS(Answers!$A$3:$A$400,$A20,Answers!$B$3:$B$400,"Halfway")=0,"",SUMPRODUCT((Answers!$A$3:$A$400=$A20)*(Answers!$B$3:$B$400="Halfway")*Answers!$L$3:$S$400)))</f>
        <v/>
      </c>
      <c r="H20" s="5">
        <f>IF($A20="","",IF(COUNTIFS(Answers!$A$3:$A$400,$A20,Answers!$B$3:$B$400,"Finish")=0,"",SUMPRODUCT((Answers!$A$3:$A$400=$A20)*(Answers!$B$3:$B$400="Finish")*Answers!$L$3:$S$400)))</f>
        <v/>
      </c>
      <c r="I20" s="26">
        <f>IF(OR(F20="",H20=""),"",H20-F20)</f>
        <v/>
      </c>
    </row>
    <row r="21">
      <c r="A21" s="13" t="n"/>
      <c r="B21" s="18">
        <f>IF($A21="","",IFERROR(SUMPRODUCT((Answers!$A$3:$A$400=$A21)*(Answers!$B$3:$B$400="Start")*Answers!$D$3:$K$400)/SUMPRODUCT((Answers!$A$3:$A$400=$A21)*(Answers!$B$3:$B$400="Start")*(Answers!$D$3:$K$400&lt;&gt;"")),""))</f>
        <v/>
      </c>
      <c r="C21" s="18">
        <f>IF($A21="","",IFERROR(SUMPRODUCT((Answers!$A$3:$A$400=$A21)*(Answers!$B$3:$B$400="Halfway")*Answers!$D$3:$K$400)/SUMPRODUCT((Answers!$A$3:$A$400=$A21)*(Answers!$B$3:$B$400="Halfway")*(Answers!$D$3:$K$400&lt;&gt;"")),""))</f>
        <v/>
      </c>
      <c r="D21" s="18">
        <f>IF($A21="","",IFERROR(SUMPRODUCT((Answers!$A$3:$A$400=$A21)*(Answers!$B$3:$B$400="Finish")*Answers!$D$3:$K$400)/SUMPRODUCT((Answers!$A$3:$A$400=$A21)*(Answers!$B$3:$B$400="Finish")*(Answers!$D$3:$K$400&lt;&gt;"")),""))</f>
        <v/>
      </c>
      <c r="E21" s="19">
        <f>IF(OR(B21="",D21=""),"",D21-B21)</f>
        <v/>
      </c>
      <c r="F21" s="5">
        <f>IF($A21="","",IF(COUNTIFS(Answers!$A$3:$A$400,$A21,Answers!$B$3:$B$400,"Start")=0,"",SUMPRODUCT((Answers!$A$3:$A$400=$A21)*(Answers!$B$3:$B$400="Start")*Answers!$L$3:$S$400)))</f>
        <v/>
      </c>
      <c r="G21" s="5">
        <f>IF($A21="","",IF(COUNTIFS(Answers!$A$3:$A$400,$A21,Answers!$B$3:$B$400,"Halfway")=0,"",SUMPRODUCT((Answers!$A$3:$A$400=$A21)*(Answers!$B$3:$B$400="Halfway")*Answers!$L$3:$S$400)))</f>
        <v/>
      </c>
      <c r="H21" s="5">
        <f>IF($A21="","",IF(COUNTIFS(Answers!$A$3:$A$400,$A21,Answers!$B$3:$B$400,"Finish")=0,"",SUMPRODUCT((Answers!$A$3:$A$400=$A21)*(Answers!$B$3:$B$400="Finish")*Answers!$L$3:$S$400)))</f>
        <v/>
      </c>
      <c r="I21" s="26">
        <f>IF(OR(F21="",H21=""),"",H21-F21)</f>
        <v/>
      </c>
    </row>
    <row r="22">
      <c r="A22" s="13" t="n"/>
      <c r="B22" s="18">
        <f>IF($A22="","",IFERROR(SUMPRODUCT((Answers!$A$3:$A$400=$A22)*(Answers!$B$3:$B$400="Start")*Answers!$D$3:$K$400)/SUMPRODUCT((Answers!$A$3:$A$400=$A22)*(Answers!$B$3:$B$400="Start")*(Answers!$D$3:$K$400&lt;&gt;"")),""))</f>
        <v/>
      </c>
      <c r="C22" s="18">
        <f>IF($A22="","",IFERROR(SUMPRODUCT((Answers!$A$3:$A$400=$A22)*(Answers!$B$3:$B$400="Halfway")*Answers!$D$3:$K$400)/SUMPRODUCT((Answers!$A$3:$A$400=$A22)*(Answers!$B$3:$B$400="Halfway")*(Answers!$D$3:$K$400&lt;&gt;"")),""))</f>
        <v/>
      </c>
      <c r="D22" s="18">
        <f>IF($A22="","",IFERROR(SUMPRODUCT((Answers!$A$3:$A$400=$A22)*(Answers!$B$3:$B$400="Finish")*Answers!$D$3:$K$400)/SUMPRODUCT((Answers!$A$3:$A$400=$A22)*(Answers!$B$3:$B$400="Finish")*(Answers!$D$3:$K$400&lt;&gt;"")),""))</f>
        <v/>
      </c>
      <c r="E22" s="19">
        <f>IF(OR(B22="",D22=""),"",D22-B22)</f>
        <v/>
      </c>
      <c r="F22" s="5">
        <f>IF($A22="","",IF(COUNTIFS(Answers!$A$3:$A$400,$A22,Answers!$B$3:$B$400,"Start")=0,"",SUMPRODUCT((Answers!$A$3:$A$400=$A22)*(Answers!$B$3:$B$400="Start")*Answers!$L$3:$S$400)))</f>
        <v/>
      </c>
      <c r="G22" s="5">
        <f>IF($A22="","",IF(COUNTIFS(Answers!$A$3:$A$400,$A22,Answers!$B$3:$B$400,"Halfway")=0,"",SUMPRODUCT((Answers!$A$3:$A$400=$A22)*(Answers!$B$3:$B$400="Halfway")*Answers!$L$3:$S$400)))</f>
        <v/>
      </c>
      <c r="H22" s="5">
        <f>IF($A22="","",IF(COUNTIFS(Answers!$A$3:$A$400,$A22,Answers!$B$3:$B$400,"Finish")=0,"",SUMPRODUCT((Answers!$A$3:$A$400=$A22)*(Answers!$B$3:$B$400="Finish")*Answers!$L$3:$S$400)))</f>
        <v/>
      </c>
      <c r="I22" s="26">
        <f>IF(OR(F22="",H22=""),"",H22-F22)</f>
        <v/>
      </c>
    </row>
    <row r="23">
      <c r="A23" s="13" t="n"/>
      <c r="B23" s="18">
        <f>IF($A23="","",IFERROR(SUMPRODUCT((Answers!$A$3:$A$400=$A23)*(Answers!$B$3:$B$400="Start")*Answers!$D$3:$K$400)/SUMPRODUCT((Answers!$A$3:$A$400=$A23)*(Answers!$B$3:$B$400="Start")*(Answers!$D$3:$K$400&lt;&gt;"")),""))</f>
        <v/>
      </c>
      <c r="C23" s="18">
        <f>IF($A23="","",IFERROR(SUMPRODUCT((Answers!$A$3:$A$400=$A23)*(Answers!$B$3:$B$400="Halfway")*Answers!$D$3:$K$400)/SUMPRODUCT((Answers!$A$3:$A$400=$A23)*(Answers!$B$3:$B$400="Halfway")*(Answers!$D$3:$K$400&lt;&gt;"")),""))</f>
        <v/>
      </c>
      <c r="D23" s="18">
        <f>IF($A23="","",IFERROR(SUMPRODUCT((Answers!$A$3:$A$400=$A23)*(Answers!$B$3:$B$400="Finish")*Answers!$D$3:$K$400)/SUMPRODUCT((Answers!$A$3:$A$400=$A23)*(Answers!$B$3:$B$400="Finish")*(Answers!$D$3:$K$400&lt;&gt;"")),""))</f>
        <v/>
      </c>
      <c r="E23" s="19">
        <f>IF(OR(B23="",D23=""),"",D23-B23)</f>
        <v/>
      </c>
      <c r="F23" s="5">
        <f>IF($A23="","",IF(COUNTIFS(Answers!$A$3:$A$400,$A23,Answers!$B$3:$B$400,"Start")=0,"",SUMPRODUCT((Answers!$A$3:$A$400=$A23)*(Answers!$B$3:$B$400="Start")*Answers!$L$3:$S$400)))</f>
        <v/>
      </c>
      <c r="G23" s="5">
        <f>IF($A23="","",IF(COUNTIFS(Answers!$A$3:$A$400,$A23,Answers!$B$3:$B$400,"Halfway")=0,"",SUMPRODUCT((Answers!$A$3:$A$400=$A23)*(Answers!$B$3:$B$400="Halfway")*Answers!$L$3:$S$400)))</f>
        <v/>
      </c>
      <c r="H23" s="5">
        <f>IF($A23="","",IF(COUNTIFS(Answers!$A$3:$A$400,$A23,Answers!$B$3:$B$400,"Finish")=0,"",SUMPRODUCT((Answers!$A$3:$A$400=$A23)*(Answers!$B$3:$B$400="Finish")*Answers!$L$3:$S$400)))</f>
        <v/>
      </c>
      <c r="I23" s="26">
        <f>IF(OR(F23="",H23=""),"",H23-F23)</f>
        <v/>
      </c>
    </row>
    <row r="24">
      <c r="A24" s="13" t="n"/>
      <c r="B24" s="18">
        <f>IF($A24="","",IFERROR(SUMPRODUCT((Answers!$A$3:$A$400=$A24)*(Answers!$B$3:$B$400="Start")*Answers!$D$3:$K$400)/SUMPRODUCT((Answers!$A$3:$A$400=$A24)*(Answers!$B$3:$B$400="Start")*(Answers!$D$3:$K$400&lt;&gt;"")),""))</f>
        <v/>
      </c>
      <c r="C24" s="18">
        <f>IF($A24="","",IFERROR(SUMPRODUCT((Answers!$A$3:$A$400=$A24)*(Answers!$B$3:$B$400="Halfway")*Answers!$D$3:$K$400)/SUMPRODUCT((Answers!$A$3:$A$400=$A24)*(Answers!$B$3:$B$400="Halfway")*(Answers!$D$3:$K$400&lt;&gt;"")),""))</f>
        <v/>
      </c>
      <c r="D24" s="18">
        <f>IF($A24="","",IFERROR(SUMPRODUCT((Answers!$A$3:$A$400=$A24)*(Answers!$B$3:$B$400="Finish")*Answers!$D$3:$K$400)/SUMPRODUCT((Answers!$A$3:$A$400=$A24)*(Answers!$B$3:$B$400="Finish")*(Answers!$D$3:$K$400&lt;&gt;"")),""))</f>
        <v/>
      </c>
      <c r="E24" s="19">
        <f>IF(OR(B24="",D24=""),"",D24-B24)</f>
        <v/>
      </c>
      <c r="F24" s="5">
        <f>IF($A24="","",IF(COUNTIFS(Answers!$A$3:$A$400,$A24,Answers!$B$3:$B$400,"Start")=0,"",SUMPRODUCT((Answers!$A$3:$A$400=$A24)*(Answers!$B$3:$B$400="Start")*Answers!$L$3:$S$400)))</f>
        <v/>
      </c>
      <c r="G24" s="5">
        <f>IF($A24="","",IF(COUNTIFS(Answers!$A$3:$A$400,$A24,Answers!$B$3:$B$400,"Halfway")=0,"",SUMPRODUCT((Answers!$A$3:$A$400=$A24)*(Answers!$B$3:$B$400="Halfway")*Answers!$L$3:$S$400)))</f>
        <v/>
      </c>
      <c r="H24" s="5">
        <f>IF($A24="","",IF(COUNTIFS(Answers!$A$3:$A$400,$A24,Answers!$B$3:$B$400,"Finish")=0,"",SUMPRODUCT((Answers!$A$3:$A$400=$A24)*(Answers!$B$3:$B$400="Finish")*Answers!$L$3:$S$400)))</f>
        <v/>
      </c>
      <c r="I24" s="26">
        <f>IF(OR(F24="",H24=""),"",H24-F24)</f>
        <v/>
      </c>
    </row>
    <row r="25">
      <c r="A25" s="13" t="n"/>
      <c r="B25" s="18">
        <f>IF($A25="","",IFERROR(SUMPRODUCT((Answers!$A$3:$A$400=$A25)*(Answers!$B$3:$B$400="Start")*Answers!$D$3:$K$400)/SUMPRODUCT((Answers!$A$3:$A$400=$A25)*(Answers!$B$3:$B$400="Start")*(Answers!$D$3:$K$400&lt;&gt;"")),""))</f>
        <v/>
      </c>
      <c r="C25" s="18">
        <f>IF($A25="","",IFERROR(SUMPRODUCT((Answers!$A$3:$A$400=$A25)*(Answers!$B$3:$B$400="Halfway")*Answers!$D$3:$K$400)/SUMPRODUCT((Answers!$A$3:$A$400=$A25)*(Answers!$B$3:$B$400="Halfway")*(Answers!$D$3:$K$400&lt;&gt;"")),""))</f>
        <v/>
      </c>
      <c r="D25" s="18">
        <f>IF($A25="","",IFERROR(SUMPRODUCT((Answers!$A$3:$A$400=$A25)*(Answers!$B$3:$B$400="Finish")*Answers!$D$3:$K$400)/SUMPRODUCT((Answers!$A$3:$A$400=$A25)*(Answers!$B$3:$B$400="Finish")*(Answers!$D$3:$K$400&lt;&gt;"")),""))</f>
        <v/>
      </c>
      <c r="E25" s="19">
        <f>IF(OR(B25="",D25=""),"",D25-B25)</f>
        <v/>
      </c>
      <c r="F25" s="5">
        <f>IF($A25="","",IF(COUNTIFS(Answers!$A$3:$A$400,$A25,Answers!$B$3:$B$400,"Start")=0,"",SUMPRODUCT((Answers!$A$3:$A$400=$A25)*(Answers!$B$3:$B$400="Start")*Answers!$L$3:$S$400)))</f>
        <v/>
      </c>
      <c r="G25" s="5">
        <f>IF($A25="","",IF(COUNTIFS(Answers!$A$3:$A$400,$A25,Answers!$B$3:$B$400,"Halfway")=0,"",SUMPRODUCT((Answers!$A$3:$A$400=$A25)*(Answers!$B$3:$B$400="Halfway")*Answers!$L$3:$S$400)))</f>
        <v/>
      </c>
      <c r="H25" s="5">
        <f>IF($A25="","",IF(COUNTIFS(Answers!$A$3:$A$400,$A25,Answers!$B$3:$B$400,"Finish")=0,"",SUMPRODUCT((Answers!$A$3:$A$400=$A25)*(Answers!$B$3:$B$400="Finish")*Answers!$L$3:$S$400)))</f>
        <v/>
      </c>
      <c r="I25" s="26">
        <f>IF(OR(F25="",H25=""),"",H25-F25)</f>
        <v/>
      </c>
    </row>
    <row r="26">
      <c r="A26" s="13" t="n"/>
      <c r="B26" s="18">
        <f>IF($A26="","",IFERROR(SUMPRODUCT((Answers!$A$3:$A$400=$A26)*(Answers!$B$3:$B$400="Start")*Answers!$D$3:$K$400)/SUMPRODUCT((Answers!$A$3:$A$400=$A26)*(Answers!$B$3:$B$400="Start")*(Answers!$D$3:$K$400&lt;&gt;"")),""))</f>
        <v/>
      </c>
      <c r="C26" s="18">
        <f>IF($A26="","",IFERROR(SUMPRODUCT((Answers!$A$3:$A$400=$A26)*(Answers!$B$3:$B$400="Halfway")*Answers!$D$3:$K$400)/SUMPRODUCT((Answers!$A$3:$A$400=$A26)*(Answers!$B$3:$B$400="Halfway")*(Answers!$D$3:$K$400&lt;&gt;"")),""))</f>
        <v/>
      </c>
      <c r="D26" s="18">
        <f>IF($A26="","",IFERROR(SUMPRODUCT((Answers!$A$3:$A$400=$A26)*(Answers!$B$3:$B$400="Finish")*Answers!$D$3:$K$400)/SUMPRODUCT((Answers!$A$3:$A$400=$A26)*(Answers!$B$3:$B$400="Finish")*(Answers!$D$3:$K$400&lt;&gt;"")),""))</f>
        <v/>
      </c>
      <c r="E26" s="19">
        <f>IF(OR(B26="",D26=""),"",D26-B26)</f>
        <v/>
      </c>
      <c r="F26" s="5">
        <f>IF($A26="","",IF(COUNTIFS(Answers!$A$3:$A$400,$A26,Answers!$B$3:$B$400,"Start")=0,"",SUMPRODUCT((Answers!$A$3:$A$400=$A26)*(Answers!$B$3:$B$400="Start")*Answers!$L$3:$S$400)))</f>
        <v/>
      </c>
      <c r="G26" s="5">
        <f>IF($A26="","",IF(COUNTIFS(Answers!$A$3:$A$400,$A26,Answers!$B$3:$B$400,"Halfway")=0,"",SUMPRODUCT((Answers!$A$3:$A$400=$A26)*(Answers!$B$3:$B$400="Halfway")*Answers!$L$3:$S$400)))</f>
        <v/>
      </c>
      <c r="H26" s="5">
        <f>IF($A26="","",IF(COUNTIFS(Answers!$A$3:$A$400,$A26,Answers!$B$3:$B$400,"Finish")=0,"",SUMPRODUCT((Answers!$A$3:$A$400=$A26)*(Answers!$B$3:$B$400="Finish")*Answers!$L$3:$S$400)))</f>
        <v/>
      </c>
      <c r="I26" s="26">
        <f>IF(OR(F26="",H26=""),"",H26-F26)</f>
        <v/>
      </c>
    </row>
    <row r="27">
      <c r="A27" s="13" t="n"/>
      <c r="B27" s="18">
        <f>IF($A27="","",IFERROR(SUMPRODUCT((Answers!$A$3:$A$400=$A27)*(Answers!$B$3:$B$400="Start")*Answers!$D$3:$K$400)/SUMPRODUCT((Answers!$A$3:$A$400=$A27)*(Answers!$B$3:$B$400="Start")*(Answers!$D$3:$K$400&lt;&gt;"")),""))</f>
        <v/>
      </c>
      <c r="C27" s="18">
        <f>IF($A27="","",IFERROR(SUMPRODUCT((Answers!$A$3:$A$400=$A27)*(Answers!$B$3:$B$400="Halfway")*Answers!$D$3:$K$400)/SUMPRODUCT((Answers!$A$3:$A$400=$A27)*(Answers!$B$3:$B$400="Halfway")*(Answers!$D$3:$K$400&lt;&gt;"")),""))</f>
        <v/>
      </c>
      <c r="D27" s="18">
        <f>IF($A27="","",IFERROR(SUMPRODUCT((Answers!$A$3:$A$400=$A27)*(Answers!$B$3:$B$400="Finish")*Answers!$D$3:$K$400)/SUMPRODUCT((Answers!$A$3:$A$400=$A27)*(Answers!$B$3:$B$400="Finish")*(Answers!$D$3:$K$400&lt;&gt;"")),""))</f>
        <v/>
      </c>
      <c r="E27" s="19">
        <f>IF(OR(B27="",D27=""),"",D27-B27)</f>
        <v/>
      </c>
      <c r="F27" s="5">
        <f>IF($A27="","",IF(COUNTIFS(Answers!$A$3:$A$400,$A27,Answers!$B$3:$B$400,"Start")=0,"",SUMPRODUCT((Answers!$A$3:$A$400=$A27)*(Answers!$B$3:$B$400="Start")*Answers!$L$3:$S$400)))</f>
        <v/>
      </c>
      <c r="G27" s="5">
        <f>IF($A27="","",IF(COUNTIFS(Answers!$A$3:$A$400,$A27,Answers!$B$3:$B$400,"Halfway")=0,"",SUMPRODUCT((Answers!$A$3:$A$400=$A27)*(Answers!$B$3:$B$400="Halfway")*Answers!$L$3:$S$400)))</f>
        <v/>
      </c>
      <c r="H27" s="5">
        <f>IF($A27="","",IF(COUNTIFS(Answers!$A$3:$A$400,$A27,Answers!$B$3:$B$400,"Finish")=0,"",SUMPRODUCT((Answers!$A$3:$A$400=$A27)*(Answers!$B$3:$B$400="Finish")*Answers!$L$3:$S$400)))</f>
        <v/>
      </c>
      <c r="I27" s="26">
        <f>IF(OR(F27="",H27=""),"",H27-F27)</f>
        <v/>
      </c>
    </row>
    <row r="28">
      <c r="A28" s="13" t="n"/>
      <c r="B28" s="18">
        <f>IF($A28="","",IFERROR(SUMPRODUCT((Answers!$A$3:$A$400=$A28)*(Answers!$B$3:$B$400="Start")*Answers!$D$3:$K$400)/SUMPRODUCT((Answers!$A$3:$A$400=$A28)*(Answers!$B$3:$B$400="Start")*(Answers!$D$3:$K$400&lt;&gt;"")),""))</f>
        <v/>
      </c>
      <c r="C28" s="18">
        <f>IF($A28="","",IFERROR(SUMPRODUCT((Answers!$A$3:$A$400=$A28)*(Answers!$B$3:$B$400="Halfway")*Answers!$D$3:$K$400)/SUMPRODUCT((Answers!$A$3:$A$400=$A28)*(Answers!$B$3:$B$400="Halfway")*(Answers!$D$3:$K$400&lt;&gt;"")),""))</f>
        <v/>
      </c>
      <c r="D28" s="18">
        <f>IF($A28="","",IFERROR(SUMPRODUCT((Answers!$A$3:$A$400=$A28)*(Answers!$B$3:$B$400="Finish")*Answers!$D$3:$K$400)/SUMPRODUCT((Answers!$A$3:$A$400=$A28)*(Answers!$B$3:$B$400="Finish")*(Answers!$D$3:$K$400&lt;&gt;"")),""))</f>
        <v/>
      </c>
      <c r="E28" s="19">
        <f>IF(OR(B28="",D28=""),"",D28-B28)</f>
        <v/>
      </c>
      <c r="F28" s="5">
        <f>IF($A28="","",IF(COUNTIFS(Answers!$A$3:$A$400,$A28,Answers!$B$3:$B$400,"Start")=0,"",SUMPRODUCT((Answers!$A$3:$A$400=$A28)*(Answers!$B$3:$B$400="Start")*Answers!$L$3:$S$400)))</f>
        <v/>
      </c>
      <c r="G28" s="5">
        <f>IF($A28="","",IF(COUNTIFS(Answers!$A$3:$A$400,$A28,Answers!$B$3:$B$400,"Halfway")=0,"",SUMPRODUCT((Answers!$A$3:$A$400=$A28)*(Answers!$B$3:$B$400="Halfway")*Answers!$L$3:$S$400)))</f>
        <v/>
      </c>
      <c r="H28" s="5">
        <f>IF($A28="","",IF(COUNTIFS(Answers!$A$3:$A$400,$A28,Answers!$B$3:$B$400,"Finish")=0,"",SUMPRODUCT((Answers!$A$3:$A$400=$A28)*(Answers!$B$3:$B$400="Finish")*Answers!$L$3:$S$400)))</f>
        <v/>
      </c>
      <c r="I28" s="26">
        <f>IF(OR(F28="",H28=""),"",H28-F28)</f>
        <v/>
      </c>
    </row>
    <row r="29">
      <c r="A29" s="13" t="n"/>
      <c r="B29" s="18">
        <f>IF($A29="","",IFERROR(SUMPRODUCT((Answers!$A$3:$A$400=$A29)*(Answers!$B$3:$B$400="Start")*Answers!$D$3:$K$400)/SUMPRODUCT((Answers!$A$3:$A$400=$A29)*(Answers!$B$3:$B$400="Start")*(Answers!$D$3:$K$400&lt;&gt;"")),""))</f>
        <v/>
      </c>
      <c r="C29" s="18">
        <f>IF($A29="","",IFERROR(SUMPRODUCT((Answers!$A$3:$A$400=$A29)*(Answers!$B$3:$B$400="Halfway")*Answers!$D$3:$K$400)/SUMPRODUCT((Answers!$A$3:$A$400=$A29)*(Answers!$B$3:$B$400="Halfway")*(Answers!$D$3:$K$400&lt;&gt;"")),""))</f>
        <v/>
      </c>
      <c r="D29" s="18">
        <f>IF($A29="","",IFERROR(SUMPRODUCT((Answers!$A$3:$A$400=$A29)*(Answers!$B$3:$B$400="Finish")*Answers!$D$3:$K$400)/SUMPRODUCT((Answers!$A$3:$A$400=$A29)*(Answers!$B$3:$B$400="Finish")*(Answers!$D$3:$K$400&lt;&gt;"")),""))</f>
        <v/>
      </c>
      <c r="E29" s="19">
        <f>IF(OR(B29="",D29=""),"",D29-B29)</f>
        <v/>
      </c>
      <c r="F29" s="5">
        <f>IF($A29="","",IF(COUNTIFS(Answers!$A$3:$A$400,$A29,Answers!$B$3:$B$400,"Start")=0,"",SUMPRODUCT((Answers!$A$3:$A$400=$A29)*(Answers!$B$3:$B$400="Start")*Answers!$L$3:$S$400)))</f>
        <v/>
      </c>
      <c r="G29" s="5">
        <f>IF($A29="","",IF(COUNTIFS(Answers!$A$3:$A$400,$A29,Answers!$B$3:$B$400,"Halfway")=0,"",SUMPRODUCT((Answers!$A$3:$A$400=$A29)*(Answers!$B$3:$B$400="Halfway")*Answers!$L$3:$S$400)))</f>
        <v/>
      </c>
      <c r="H29" s="5">
        <f>IF($A29="","",IF(COUNTIFS(Answers!$A$3:$A$400,$A29,Answers!$B$3:$B$400,"Finish")=0,"",SUMPRODUCT((Answers!$A$3:$A$400=$A29)*(Answers!$B$3:$B$400="Finish")*Answers!$L$3:$S$400)))</f>
        <v/>
      </c>
      <c r="I29" s="26">
        <f>IF(OR(F29="",H29=""),"",H29-F29)</f>
        <v/>
      </c>
    </row>
    <row r="30">
      <c r="A30" s="13" t="n"/>
      <c r="B30" s="18">
        <f>IF($A30="","",IFERROR(SUMPRODUCT((Answers!$A$3:$A$400=$A30)*(Answers!$B$3:$B$400="Start")*Answers!$D$3:$K$400)/SUMPRODUCT((Answers!$A$3:$A$400=$A30)*(Answers!$B$3:$B$400="Start")*(Answers!$D$3:$K$400&lt;&gt;"")),""))</f>
        <v/>
      </c>
      <c r="C30" s="18">
        <f>IF($A30="","",IFERROR(SUMPRODUCT((Answers!$A$3:$A$400=$A30)*(Answers!$B$3:$B$400="Halfway")*Answers!$D$3:$K$400)/SUMPRODUCT((Answers!$A$3:$A$400=$A30)*(Answers!$B$3:$B$400="Halfway")*(Answers!$D$3:$K$400&lt;&gt;"")),""))</f>
        <v/>
      </c>
      <c r="D30" s="18">
        <f>IF($A30="","",IFERROR(SUMPRODUCT((Answers!$A$3:$A$400=$A30)*(Answers!$B$3:$B$400="Finish")*Answers!$D$3:$K$400)/SUMPRODUCT((Answers!$A$3:$A$400=$A30)*(Answers!$B$3:$B$400="Finish")*(Answers!$D$3:$K$400&lt;&gt;"")),""))</f>
        <v/>
      </c>
      <c r="E30" s="19">
        <f>IF(OR(B30="",D30=""),"",D30-B30)</f>
        <v/>
      </c>
      <c r="F30" s="5">
        <f>IF($A30="","",IF(COUNTIFS(Answers!$A$3:$A$400,$A30,Answers!$B$3:$B$400,"Start")=0,"",SUMPRODUCT((Answers!$A$3:$A$400=$A30)*(Answers!$B$3:$B$400="Start")*Answers!$L$3:$S$400)))</f>
        <v/>
      </c>
      <c r="G30" s="5">
        <f>IF($A30="","",IF(COUNTIFS(Answers!$A$3:$A$400,$A30,Answers!$B$3:$B$400,"Halfway")=0,"",SUMPRODUCT((Answers!$A$3:$A$400=$A30)*(Answers!$B$3:$B$400="Halfway")*Answers!$L$3:$S$400)))</f>
        <v/>
      </c>
      <c r="H30" s="5">
        <f>IF($A30="","",IF(COUNTIFS(Answers!$A$3:$A$400,$A30,Answers!$B$3:$B$400,"Finish")=0,"",SUMPRODUCT((Answers!$A$3:$A$400=$A30)*(Answers!$B$3:$B$400="Finish")*Answers!$L$3:$S$400)))</f>
        <v/>
      </c>
      <c r="I30" s="26">
        <f>IF(OR(F30="",H30=""),"",H30-F30)</f>
        <v/>
      </c>
    </row>
    <row r="31">
      <c r="A31" s="13" t="n"/>
      <c r="B31" s="18">
        <f>IF($A31="","",IFERROR(SUMPRODUCT((Answers!$A$3:$A$400=$A31)*(Answers!$B$3:$B$400="Start")*Answers!$D$3:$K$400)/SUMPRODUCT((Answers!$A$3:$A$400=$A31)*(Answers!$B$3:$B$400="Start")*(Answers!$D$3:$K$400&lt;&gt;"")),""))</f>
        <v/>
      </c>
      <c r="C31" s="18">
        <f>IF($A31="","",IFERROR(SUMPRODUCT((Answers!$A$3:$A$400=$A31)*(Answers!$B$3:$B$400="Halfway")*Answers!$D$3:$K$400)/SUMPRODUCT((Answers!$A$3:$A$400=$A31)*(Answers!$B$3:$B$400="Halfway")*(Answers!$D$3:$K$400&lt;&gt;"")),""))</f>
        <v/>
      </c>
      <c r="D31" s="18">
        <f>IF($A31="","",IFERROR(SUMPRODUCT((Answers!$A$3:$A$400=$A31)*(Answers!$B$3:$B$400="Finish")*Answers!$D$3:$K$400)/SUMPRODUCT((Answers!$A$3:$A$400=$A31)*(Answers!$B$3:$B$400="Finish")*(Answers!$D$3:$K$400&lt;&gt;"")),""))</f>
        <v/>
      </c>
      <c r="E31" s="19">
        <f>IF(OR(B31="",D31=""),"",D31-B31)</f>
        <v/>
      </c>
      <c r="F31" s="5">
        <f>IF($A31="","",IF(COUNTIFS(Answers!$A$3:$A$400,$A31,Answers!$B$3:$B$400,"Start")=0,"",SUMPRODUCT((Answers!$A$3:$A$400=$A31)*(Answers!$B$3:$B$400="Start")*Answers!$L$3:$S$400)))</f>
        <v/>
      </c>
      <c r="G31" s="5">
        <f>IF($A31="","",IF(COUNTIFS(Answers!$A$3:$A$400,$A31,Answers!$B$3:$B$400,"Halfway")=0,"",SUMPRODUCT((Answers!$A$3:$A$400=$A31)*(Answers!$B$3:$B$400="Halfway")*Answers!$L$3:$S$400)))</f>
        <v/>
      </c>
      <c r="H31" s="5">
        <f>IF($A31="","",IF(COUNTIFS(Answers!$A$3:$A$400,$A31,Answers!$B$3:$B$400,"Finish")=0,"",SUMPRODUCT((Answers!$A$3:$A$400=$A31)*(Answers!$B$3:$B$400="Finish")*Answers!$L$3:$S$400)))</f>
        <v/>
      </c>
      <c r="I31" s="26">
        <f>IF(OR(F31="",H31=""),"",H31-F31)</f>
        <v/>
      </c>
    </row>
    <row r="32">
      <c r="A32" s="13" t="n"/>
      <c r="B32" s="18">
        <f>IF($A32="","",IFERROR(SUMPRODUCT((Answers!$A$3:$A$400=$A32)*(Answers!$B$3:$B$400="Start")*Answers!$D$3:$K$400)/SUMPRODUCT((Answers!$A$3:$A$400=$A32)*(Answers!$B$3:$B$400="Start")*(Answers!$D$3:$K$400&lt;&gt;"")),""))</f>
        <v/>
      </c>
      <c r="C32" s="18">
        <f>IF($A32="","",IFERROR(SUMPRODUCT((Answers!$A$3:$A$400=$A32)*(Answers!$B$3:$B$400="Halfway")*Answers!$D$3:$K$400)/SUMPRODUCT((Answers!$A$3:$A$400=$A32)*(Answers!$B$3:$B$400="Halfway")*(Answers!$D$3:$K$400&lt;&gt;"")),""))</f>
        <v/>
      </c>
      <c r="D32" s="18">
        <f>IF($A32="","",IFERROR(SUMPRODUCT((Answers!$A$3:$A$400=$A32)*(Answers!$B$3:$B$400="Finish")*Answers!$D$3:$K$400)/SUMPRODUCT((Answers!$A$3:$A$400=$A32)*(Answers!$B$3:$B$400="Finish")*(Answers!$D$3:$K$400&lt;&gt;"")),""))</f>
        <v/>
      </c>
      <c r="E32" s="19">
        <f>IF(OR(B32="",D32=""),"",D32-B32)</f>
        <v/>
      </c>
      <c r="F32" s="5">
        <f>IF($A32="","",IF(COUNTIFS(Answers!$A$3:$A$400,$A32,Answers!$B$3:$B$400,"Start")=0,"",SUMPRODUCT((Answers!$A$3:$A$400=$A32)*(Answers!$B$3:$B$400="Start")*Answers!$L$3:$S$400)))</f>
        <v/>
      </c>
      <c r="G32" s="5">
        <f>IF($A32="","",IF(COUNTIFS(Answers!$A$3:$A$400,$A32,Answers!$B$3:$B$400,"Halfway")=0,"",SUMPRODUCT((Answers!$A$3:$A$400=$A32)*(Answers!$B$3:$B$400="Halfway")*Answers!$L$3:$S$400)))</f>
        <v/>
      </c>
      <c r="H32" s="5">
        <f>IF($A32="","",IF(COUNTIFS(Answers!$A$3:$A$400,$A32,Answers!$B$3:$B$400,"Finish")=0,"",SUMPRODUCT((Answers!$A$3:$A$400=$A32)*(Answers!$B$3:$B$400="Finish")*Answers!$L$3:$S$400)))</f>
        <v/>
      </c>
      <c r="I32" s="26">
        <f>IF(OR(F32="",H32=""),"",H32-F32)</f>
        <v/>
      </c>
    </row>
    <row r="33">
      <c r="A33" s="13" t="n"/>
      <c r="B33" s="18">
        <f>IF($A33="","",IFERROR(SUMPRODUCT((Answers!$A$3:$A$400=$A33)*(Answers!$B$3:$B$400="Start")*Answers!$D$3:$K$400)/SUMPRODUCT((Answers!$A$3:$A$400=$A33)*(Answers!$B$3:$B$400="Start")*(Answers!$D$3:$K$400&lt;&gt;"")),""))</f>
        <v/>
      </c>
      <c r="C33" s="18">
        <f>IF($A33="","",IFERROR(SUMPRODUCT((Answers!$A$3:$A$400=$A33)*(Answers!$B$3:$B$400="Halfway")*Answers!$D$3:$K$400)/SUMPRODUCT((Answers!$A$3:$A$400=$A33)*(Answers!$B$3:$B$400="Halfway")*(Answers!$D$3:$K$400&lt;&gt;"")),""))</f>
        <v/>
      </c>
      <c r="D33" s="18">
        <f>IF($A33="","",IFERROR(SUMPRODUCT((Answers!$A$3:$A$400=$A33)*(Answers!$B$3:$B$400="Finish")*Answers!$D$3:$K$400)/SUMPRODUCT((Answers!$A$3:$A$400=$A33)*(Answers!$B$3:$B$400="Finish")*(Answers!$D$3:$K$400&lt;&gt;"")),""))</f>
        <v/>
      </c>
      <c r="E33" s="19">
        <f>IF(OR(B33="",D33=""),"",D33-B33)</f>
        <v/>
      </c>
      <c r="F33" s="5">
        <f>IF($A33="","",IF(COUNTIFS(Answers!$A$3:$A$400,$A33,Answers!$B$3:$B$400,"Start")=0,"",SUMPRODUCT((Answers!$A$3:$A$400=$A33)*(Answers!$B$3:$B$400="Start")*Answers!$L$3:$S$400)))</f>
        <v/>
      </c>
      <c r="G33" s="5">
        <f>IF($A33="","",IF(COUNTIFS(Answers!$A$3:$A$400,$A33,Answers!$B$3:$B$400,"Halfway")=0,"",SUMPRODUCT((Answers!$A$3:$A$400=$A33)*(Answers!$B$3:$B$400="Halfway")*Answers!$L$3:$S$400)))</f>
        <v/>
      </c>
      <c r="H33" s="5">
        <f>IF($A33="","",IF(COUNTIFS(Answers!$A$3:$A$400,$A33,Answers!$B$3:$B$400,"Finish")=0,"",SUMPRODUCT((Answers!$A$3:$A$400=$A33)*(Answers!$B$3:$B$400="Finish")*Answers!$L$3:$S$400)))</f>
        <v/>
      </c>
      <c r="I33" s="26">
        <f>IF(OR(F33="",H33=""),"",H33-F33)</f>
        <v/>
      </c>
    </row>
    <row r="34">
      <c r="A34" s="13" t="n"/>
      <c r="B34" s="18">
        <f>IF($A34="","",IFERROR(SUMPRODUCT((Answers!$A$3:$A$400=$A34)*(Answers!$B$3:$B$400="Start")*Answers!$D$3:$K$400)/SUMPRODUCT((Answers!$A$3:$A$400=$A34)*(Answers!$B$3:$B$400="Start")*(Answers!$D$3:$K$400&lt;&gt;"")),""))</f>
        <v/>
      </c>
      <c r="C34" s="18">
        <f>IF($A34="","",IFERROR(SUMPRODUCT((Answers!$A$3:$A$400=$A34)*(Answers!$B$3:$B$400="Halfway")*Answers!$D$3:$K$400)/SUMPRODUCT((Answers!$A$3:$A$400=$A34)*(Answers!$B$3:$B$400="Halfway")*(Answers!$D$3:$K$400&lt;&gt;"")),""))</f>
        <v/>
      </c>
      <c r="D34" s="18">
        <f>IF($A34="","",IFERROR(SUMPRODUCT((Answers!$A$3:$A$400=$A34)*(Answers!$B$3:$B$400="Finish")*Answers!$D$3:$K$400)/SUMPRODUCT((Answers!$A$3:$A$400=$A34)*(Answers!$B$3:$B$400="Finish")*(Answers!$D$3:$K$400&lt;&gt;"")),""))</f>
        <v/>
      </c>
      <c r="E34" s="19">
        <f>IF(OR(B34="",D34=""),"",D34-B34)</f>
        <v/>
      </c>
      <c r="F34" s="5">
        <f>IF($A34="","",IF(COUNTIFS(Answers!$A$3:$A$400,$A34,Answers!$B$3:$B$400,"Start")=0,"",SUMPRODUCT((Answers!$A$3:$A$400=$A34)*(Answers!$B$3:$B$400="Start")*Answers!$L$3:$S$400)))</f>
        <v/>
      </c>
      <c r="G34" s="5">
        <f>IF($A34="","",IF(COUNTIFS(Answers!$A$3:$A$400,$A34,Answers!$B$3:$B$400,"Halfway")=0,"",SUMPRODUCT((Answers!$A$3:$A$400=$A34)*(Answers!$B$3:$B$400="Halfway")*Answers!$L$3:$S$400)))</f>
        <v/>
      </c>
      <c r="H34" s="5">
        <f>IF($A34="","",IF(COUNTIFS(Answers!$A$3:$A$400,$A34,Answers!$B$3:$B$400,"Finish")=0,"",SUMPRODUCT((Answers!$A$3:$A$400=$A34)*(Answers!$B$3:$B$400="Finish")*Answers!$L$3:$S$400)))</f>
        <v/>
      </c>
      <c r="I34" s="26">
        <f>IF(OR(F34="",H34=""),"",H34-F34)</f>
        <v/>
      </c>
    </row>
    <row r="35">
      <c r="A35" s="13" t="n"/>
      <c r="B35" s="18">
        <f>IF($A35="","",IFERROR(SUMPRODUCT((Answers!$A$3:$A$400=$A35)*(Answers!$B$3:$B$400="Start")*Answers!$D$3:$K$400)/SUMPRODUCT((Answers!$A$3:$A$400=$A35)*(Answers!$B$3:$B$400="Start")*(Answers!$D$3:$K$400&lt;&gt;"")),""))</f>
        <v/>
      </c>
      <c r="C35" s="18">
        <f>IF($A35="","",IFERROR(SUMPRODUCT((Answers!$A$3:$A$400=$A35)*(Answers!$B$3:$B$400="Halfway")*Answers!$D$3:$K$400)/SUMPRODUCT((Answers!$A$3:$A$400=$A35)*(Answers!$B$3:$B$400="Halfway")*(Answers!$D$3:$K$400&lt;&gt;"")),""))</f>
        <v/>
      </c>
      <c r="D35" s="18">
        <f>IF($A35="","",IFERROR(SUMPRODUCT((Answers!$A$3:$A$400=$A35)*(Answers!$B$3:$B$400="Finish")*Answers!$D$3:$K$400)/SUMPRODUCT((Answers!$A$3:$A$400=$A35)*(Answers!$B$3:$B$400="Finish")*(Answers!$D$3:$K$400&lt;&gt;"")),""))</f>
        <v/>
      </c>
      <c r="E35" s="19">
        <f>IF(OR(B35="",D35=""),"",D35-B35)</f>
        <v/>
      </c>
      <c r="F35" s="5">
        <f>IF($A35="","",IF(COUNTIFS(Answers!$A$3:$A$400,$A35,Answers!$B$3:$B$400,"Start")=0,"",SUMPRODUCT((Answers!$A$3:$A$400=$A35)*(Answers!$B$3:$B$400="Start")*Answers!$L$3:$S$400)))</f>
        <v/>
      </c>
      <c r="G35" s="5">
        <f>IF($A35="","",IF(COUNTIFS(Answers!$A$3:$A$400,$A35,Answers!$B$3:$B$400,"Halfway")=0,"",SUMPRODUCT((Answers!$A$3:$A$400=$A35)*(Answers!$B$3:$B$400="Halfway")*Answers!$L$3:$S$400)))</f>
        <v/>
      </c>
      <c r="H35" s="5">
        <f>IF($A35="","",IF(COUNTIFS(Answers!$A$3:$A$400,$A35,Answers!$B$3:$B$400,"Finish")=0,"",SUMPRODUCT((Answers!$A$3:$A$400=$A35)*(Answers!$B$3:$B$400="Finish")*Answers!$L$3:$S$400)))</f>
        <v/>
      </c>
      <c r="I35" s="26">
        <f>IF(OR(F35="",H35=""),"",H35-F35)</f>
        <v/>
      </c>
    </row>
    <row r="36">
      <c r="A36" s="13" t="n"/>
      <c r="B36" s="18">
        <f>IF($A36="","",IFERROR(SUMPRODUCT((Answers!$A$3:$A$400=$A36)*(Answers!$B$3:$B$400="Start")*Answers!$D$3:$K$400)/SUMPRODUCT((Answers!$A$3:$A$400=$A36)*(Answers!$B$3:$B$400="Start")*(Answers!$D$3:$K$400&lt;&gt;"")),""))</f>
        <v/>
      </c>
      <c r="C36" s="18">
        <f>IF($A36="","",IFERROR(SUMPRODUCT((Answers!$A$3:$A$400=$A36)*(Answers!$B$3:$B$400="Halfway")*Answers!$D$3:$K$400)/SUMPRODUCT((Answers!$A$3:$A$400=$A36)*(Answers!$B$3:$B$400="Halfway")*(Answers!$D$3:$K$400&lt;&gt;"")),""))</f>
        <v/>
      </c>
      <c r="D36" s="18">
        <f>IF($A36="","",IFERROR(SUMPRODUCT((Answers!$A$3:$A$400=$A36)*(Answers!$B$3:$B$400="Finish")*Answers!$D$3:$K$400)/SUMPRODUCT((Answers!$A$3:$A$400=$A36)*(Answers!$B$3:$B$400="Finish")*(Answers!$D$3:$K$400&lt;&gt;"")),""))</f>
        <v/>
      </c>
      <c r="E36" s="19">
        <f>IF(OR(B36="",D36=""),"",D36-B36)</f>
        <v/>
      </c>
      <c r="F36" s="5">
        <f>IF($A36="","",IF(COUNTIFS(Answers!$A$3:$A$400,$A36,Answers!$B$3:$B$400,"Start")=0,"",SUMPRODUCT((Answers!$A$3:$A$400=$A36)*(Answers!$B$3:$B$400="Start")*Answers!$L$3:$S$400)))</f>
        <v/>
      </c>
      <c r="G36" s="5">
        <f>IF($A36="","",IF(COUNTIFS(Answers!$A$3:$A$400,$A36,Answers!$B$3:$B$400,"Halfway")=0,"",SUMPRODUCT((Answers!$A$3:$A$400=$A36)*(Answers!$B$3:$B$400="Halfway")*Answers!$L$3:$S$400)))</f>
        <v/>
      </c>
      <c r="H36" s="5">
        <f>IF($A36="","",IF(COUNTIFS(Answers!$A$3:$A$400,$A36,Answers!$B$3:$B$400,"Finish")=0,"",SUMPRODUCT((Answers!$A$3:$A$400=$A36)*(Answers!$B$3:$B$400="Finish")*Answers!$L$3:$S$400)))</f>
        <v/>
      </c>
      <c r="I36" s="26">
        <f>IF(OR(F36="",H36=""),"",H36-F36)</f>
        <v/>
      </c>
    </row>
    <row r="37">
      <c r="A37" s="13" t="n"/>
      <c r="B37" s="18">
        <f>IF($A37="","",IFERROR(SUMPRODUCT((Answers!$A$3:$A$400=$A37)*(Answers!$B$3:$B$400="Start")*Answers!$D$3:$K$400)/SUMPRODUCT((Answers!$A$3:$A$400=$A37)*(Answers!$B$3:$B$400="Start")*(Answers!$D$3:$K$400&lt;&gt;"")),""))</f>
        <v/>
      </c>
      <c r="C37" s="18">
        <f>IF($A37="","",IFERROR(SUMPRODUCT((Answers!$A$3:$A$400=$A37)*(Answers!$B$3:$B$400="Halfway")*Answers!$D$3:$K$400)/SUMPRODUCT((Answers!$A$3:$A$400=$A37)*(Answers!$B$3:$B$400="Halfway")*(Answers!$D$3:$K$400&lt;&gt;"")),""))</f>
        <v/>
      </c>
      <c r="D37" s="18">
        <f>IF($A37="","",IFERROR(SUMPRODUCT((Answers!$A$3:$A$400=$A37)*(Answers!$B$3:$B$400="Finish")*Answers!$D$3:$K$400)/SUMPRODUCT((Answers!$A$3:$A$400=$A37)*(Answers!$B$3:$B$400="Finish")*(Answers!$D$3:$K$400&lt;&gt;"")),""))</f>
        <v/>
      </c>
      <c r="E37" s="19">
        <f>IF(OR(B37="",D37=""),"",D37-B37)</f>
        <v/>
      </c>
      <c r="F37" s="5">
        <f>IF($A37="","",IF(COUNTIFS(Answers!$A$3:$A$400,$A37,Answers!$B$3:$B$400,"Start")=0,"",SUMPRODUCT((Answers!$A$3:$A$400=$A37)*(Answers!$B$3:$B$400="Start")*Answers!$L$3:$S$400)))</f>
        <v/>
      </c>
      <c r="G37" s="5">
        <f>IF($A37="","",IF(COUNTIFS(Answers!$A$3:$A$400,$A37,Answers!$B$3:$B$400,"Halfway")=0,"",SUMPRODUCT((Answers!$A$3:$A$400=$A37)*(Answers!$B$3:$B$400="Halfway")*Answers!$L$3:$S$400)))</f>
        <v/>
      </c>
      <c r="H37" s="5">
        <f>IF($A37="","",IF(COUNTIFS(Answers!$A$3:$A$400,$A37,Answers!$B$3:$B$400,"Finish")=0,"",SUMPRODUCT((Answers!$A$3:$A$400=$A37)*(Answers!$B$3:$B$400="Finish")*Answers!$L$3:$S$400)))</f>
        <v/>
      </c>
      <c r="I37" s="26">
        <f>IF(OR(F37="",H37=""),"",H37-F37)</f>
        <v/>
      </c>
    </row>
    <row r="38">
      <c r="A38" s="13" t="n"/>
      <c r="B38" s="18">
        <f>IF($A38="","",IFERROR(SUMPRODUCT((Answers!$A$3:$A$400=$A38)*(Answers!$B$3:$B$400="Start")*Answers!$D$3:$K$400)/SUMPRODUCT((Answers!$A$3:$A$400=$A38)*(Answers!$B$3:$B$400="Start")*(Answers!$D$3:$K$400&lt;&gt;"")),""))</f>
        <v/>
      </c>
      <c r="C38" s="18">
        <f>IF($A38="","",IFERROR(SUMPRODUCT((Answers!$A$3:$A$400=$A38)*(Answers!$B$3:$B$400="Halfway")*Answers!$D$3:$K$400)/SUMPRODUCT((Answers!$A$3:$A$400=$A38)*(Answers!$B$3:$B$400="Halfway")*(Answers!$D$3:$K$400&lt;&gt;"")),""))</f>
        <v/>
      </c>
      <c r="D38" s="18">
        <f>IF($A38="","",IFERROR(SUMPRODUCT((Answers!$A$3:$A$400=$A38)*(Answers!$B$3:$B$400="Finish")*Answers!$D$3:$K$400)/SUMPRODUCT((Answers!$A$3:$A$400=$A38)*(Answers!$B$3:$B$400="Finish")*(Answers!$D$3:$K$400&lt;&gt;"")),""))</f>
        <v/>
      </c>
      <c r="E38" s="19">
        <f>IF(OR(B38="",D38=""),"",D38-B38)</f>
        <v/>
      </c>
      <c r="F38" s="5">
        <f>IF($A38="","",IF(COUNTIFS(Answers!$A$3:$A$400,$A38,Answers!$B$3:$B$400,"Start")=0,"",SUMPRODUCT((Answers!$A$3:$A$400=$A38)*(Answers!$B$3:$B$400="Start")*Answers!$L$3:$S$400)))</f>
        <v/>
      </c>
      <c r="G38" s="5">
        <f>IF($A38="","",IF(COUNTIFS(Answers!$A$3:$A$400,$A38,Answers!$B$3:$B$400,"Halfway")=0,"",SUMPRODUCT((Answers!$A$3:$A$400=$A38)*(Answers!$B$3:$B$400="Halfway")*Answers!$L$3:$S$400)))</f>
        <v/>
      </c>
      <c r="H38" s="5">
        <f>IF($A38="","",IF(COUNTIFS(Answers!$A$3:$A$400,$A38,Answers!$B$3:$B$400,"Finish")=0,"",SUMPRODUCT((Answers!$A$3:$A$400=$A38)*(Answers!$B$3:$B$400="Finish")*Answers!$L$3:$S$400)))</f>
        <v/>
      </c>
      <c r="I38" s="26">
        <f>IF(OR(F38="",H38=""),"",H38-F38)</f>
        <v/>
      </c>
    </row>
    <row r="39">
      <c r="A39" s="13" t="n"/>
      <c r="B39" s="18">
        <f>IF($A39="","",IFERROR(SUMPRODUCT((Answers!$A$3:$A$400=$A39)*(Answers!$B$3:$B$400="Start")*Answers!$D$3:$K$400)/SUMPRODUCT((Answers!$A$3:$A$400=$A39)*(Answers!$B$3:$B$400="Start")*(Answers!$D$3:$K$400&lt;&gt;"")),""))</f>
        <v/>
      </c>
      <c r="C39" s="18">
        <f>IF($A39="","",IFERROR(SUMPRODUCT((Answers!$A$3:$A$400=$A39)*(Answers!$B$3:$B$400="Halfway")*Answers!$D$3:$K$400)/SUMPRODUCT((Answers!$A$3:$A$400=$A39)*(Answers!$B$3:$B$400="Halfway")*(Answers!$D$3:$K$400&lt;&gt;"")),""))</f>
        <v/>
      </c>
      <c r="D39" s="18">
        <f>IF($A39="","",IFERROR(SUMPRODUCT((Answers!$A$3:$A$400=$A39)*(Answers!$B$3:$B$400="Finish")*Answers!$D$3:$K$400)/SUMPRODUCT((Answers!$A$3:$A$400=$A39)*(Answers!$B$3:$B$400="Finish")*(Answers!$D$3:$K$400&lt;&gt;"")),""))</f>
        <v/>
      </c>
      <c r="E39" s="19">
        <f>IF(OR(B39="",D39=""),"",D39-B39)</f>
        <v/>
      </c>
      <c r="F39" s="5">
        <f>IF($A39="","",IF(COUNTIFS(Answers!$A$3:$A$400,$A39,Answers!$B$3:$B$400,"Start")=0,"",SUMPRODUCT((Answers!$A$3:$A$400=$A39)*(Answers!$B$3:$B$400="Start")*Answers!$L$3:$S$400)))</f>
        <v/>
      </c>
      <c r="G39" s="5">
        <f>IF($A39="","",IF(COUNTIFS(Answers!$A$3:$A$400,$A39,Answers!$B$3:$B$400,"Halfway")=0,"",SUMPRODUCT((Answers!$A$3:$A$400=$A39)*(Answers!$B$3:$B$400="Halfway")*Answers!$L$3:$S$400)))</f>
        <v/>
      </c>
      <c r="H39" s="5">
        <f>IF($A39="","",IF(COUNTIFS(Answers!$A$3:$A$400,$A39,Answers!$B$3:$B$400,"Finish")=0,"",SUMPRODUCT((Answers!$A$3:$A$400=$A39)*(Answers!$B$3:$B$400="Finish")*Answers!$L$3:$S$400)))</f>
        <v/>
      </c>
      <c r="I39" s="26">
        <f>IF(OR(F39="",H39=""),"",H39-F39)</f>
        <v/>
      </c>
    </row>
    <row r="40">
      <c r="A40" s="13" t="n"/>
      <c r="B40" s="18">
        <f>IF($A40="","",IFERROR(SUMPRODUCT((Answers!$A$3:$A$400=$A40)*(Answers!$B$3:$B$400="Start")*Answers!$D$3:$K$400)/SUMPRODUCT((Answers!$A$3:$A$400=$A40)*(Answers!$B$3:$B$400="Start")*(Answers!$D$3:$K$400&lt;&gt;"")),""))</f>
        <v/>
      </c>
      <c r="C40" s="18">
        <f>IF($A40="","",IFERROR(SUMPRODUCT((Answers!$A$3:$A$400=$A40)*(Answers!$B$3:$B$400="Halfway")*Answers!$D$3:$K$400)/SUMPRODUCT((Answers!$A$3:$A$400=$A40)*(Answers!$B$3:$B$400="Halfway")*(Answers!$D$3:$K$400&lt;&gt;"")),""))</f>
        <v/>
      </c>
      <c r="D40" s="18">
        <f>IF($A40="","",IFERROR(SUMPRODUCT((Answers!$A$3:$A$400=$A40)*(Answers!$B$3:$B$400="Finish")*Answers!$D$3:$K$400)/SUMPRODUCT((Answers!$A$3:$A$400=$A40)*(Answers!$B$3:$B$400="Finish")*(Answers!$D$3:$K$400&lt;&gt;"")),""))</f>
        <v/>
      </c>
      <c r="E40" s="19">
        <f>IF(OR(B40="",D40=""),"",D40-B40)</f>
        <v/>
      </c>
      <c r="F40" s="5">
        <f>IF($A40="","",IF(COUNTIFS(Answers!$A$3:$A$400,$A40,Answers!$B$3:$B$400,"Start")=0,"",SUMPRODUCT((Answers!$A$3:$A$400=$A40)*(Answers!$B$3:$B$400="Start")*Answers!$L$3:$S$400)))</f>
        <v/>
      </c>
      <c r="G40" s="5">
        <f>IF($A40="","",IF(COUNTIFS(Answers!$A$3:$A$400,$A40,Answers!$B$3:$B$400,"Halfway")=0,"",SUMPRODUCT((Answers!$A$3:$A$400=$A40)*(Answers!$B$3:$B$400="Halfway")*Answers!$L$3:$S$400)))</f>
        <v/>
      </c>
      <c r="H40" s="5">
        <f>IF($A40="","",IF(COUNTIFS(Answers!$A$3:$A$400,$A40,Answers!$B$3:$B$400,"Finish")=0,"",SUMPRODUCT((Answers!$A$3:$A$400=$A40)*(Answers!$B$3:$B$400="Finish")*Answers!$L$3:$S$400)))</f>
        <v/>
      </c>
      <c r="I40" s="26">
        <f>IF(OR(F40="",H40=""),"",H40-F40)</f>
        <v/>
      </c>
    </row>
    <row r="41">
      <c r="A41" s="13" t="n"/>
      <c r="B41" s="18">
        <f>IF($A41="","",IFERROR(SUMPRODUCT((Answers!$A$3:$A$400=$A41)*(Answers!$B$3:$B$400="Start")*Answers!$D$3:$K$400)/SUMPRODUCT((Answers!$A$3:$A$400=$A41)*(Answers!$B$3:$B$400="Start")*(Answers!$D$3:$K$400&lt;&gt;"")),""))</f>
        <v/>
      </c>
      <c r="C41" s="18">
        <f>IF($A41="","",IFERROR(SUMPRODUCT((Answers!$A$3:$A$400=$A41)*(Answers!$B$3:$B$400="Halfway")*Answers!$D$3:$K$400)/SUMPRODUCT((Answers!$A$3:$A$400=$A41)*(Answers!$B$3:$B$400="Halfway")*(Answers!$D$3:$K$400&lt;&gt;"")),""))</f>
        <v/>
      </c>
      <c r="D41" s="18">
        <f>IF($A41="","",IFERROR(SUMPRODUCT((Answers!$A$3:$A$400=$A41)*(Answers!$B$3:$B$400="Finish")*Answers!$D$3:$K$400)/SUMPRODUCT((Answers!$A$3:$A$400=$A41)*(Answers!$B$3:$B$400="Finish")*(Answers!$D$3:$K$400&lt;&gt;"")),""))</f>
        <v/>
      </c>
      <c r="E41" s="19">
        <f>IF(OR(B41="",D41=""),"",D41-B41)</f>
        <v/>
      </c>
      <c r="F41" s="5">
        <f>IF($A41="","",IF(COUNTIFS(Answers!$A$3:$A$400,$A41,Answers!$B$3:$B$400,"Start")=0,"",SUMPRODUCT((Answers!$A$3:$A$400=$A41)*(Answers!$B$3:$B$400="Start")*Answers!$L$3:$S$400)))</f>
        <v/>
      </c>
      <c r="G41" s="5">
        <f>IF($A41="","",IF(COUNTIFS(Answers!$A$3:$A$400,$A41,Answers!$B$3:$B$400,"Halfway")=0,"",SUMPRODUCT((Answers!$A$3:$A$400=$A41)*(Answers!$B$3:$B$400="Halfway")*Answers!$L$3:$S$400)))</f>
        <v/>
      </c>
      <c r="H41" s="5">
        <f>IF($A41="","",IF(COUNTIFS(Answers!$A$3:$A$400,$A41,Answers!$B$3:$B$400,"Finish")=0,"",SUMPRODUCT((Answers!$A$3:$A$400=$A41)*(Answers!$B$3:$B$400="Finish")*Answers!$L$3:$S$400)))</f>
        <v/>
      </c>
      <c r="I41" s="26">
        <f>IF(OR(F41="",H41=""),"",H41-F41)</f>
        <v/>
      </c>
    </row>
    <row r="42">
      <c r="A42" s="13" t="n"/>
      <c r="B42" s="18">
        <f>IF($A42="","",IFERROR(SUMPRODUCT((Answers!$A$3:$A$400=$A42)*(Answers!$B$3:$B$400="Start")*Answers!$D$3:$K$400)/SUMPRODUCT((Answers!$A$3:$A$400=$A42)*(Answers!$B$3:$B$400="Start")*(Answers!$D$3:$K$400&lt;&gt;"")),""))</f>
        <v/>
      </c>
      <c r="C42" s="18">
        <f>IF($A42="","",IFERROR(SUMPRODUCT((Answers!$A$3:$A$400=$A42)*(Answers!$B$3:$B$400="Halfway")*Answers!$D$3:$K$400)/SUMPRODUCT((Answers!$A$3:$A$400=$A42)*(Answers!$B$3:$B$400="Halfway")*(Answers!$D$3:$K$400&lt;&gt;"")),""))</f>
        <v/>
      </c>
      <c r="D42" s="18">
        <f>IF($A42="","",IFERROR(SUMPRODUCT((Answers!$A$3:$A$400=$A42)*(Answers!$B$3:$B$400="Finish")*Answers!$D$3:$K$400)/SUMPRODUCT((Answers!$A$3:$A$400=$A42)*(Answers!$B$3:$B$400="Finish")*(Answers!$D$3:$K$400&lt;&gt;"")),""))</f>
        <v/>
      </c>
      <c r="E42" s="19">
        <f>IF(OR(B42="",D42=""),"",D42-B42)</f>
        <v/>
      </c>
      <c r="F42" s="5">
        <f>IF($A42="","",IF(COUNTIFS(Answers!$A$3:$A$400,$A42,Answers!$B$3:$B$400,"Start")=0,"",SUMPRODUCT((Answers!$A$3:$A$400=$A42)*(Answers!$B$3:$B$400="Start")*Answers!$L$3:$S$400)))</f>
        <v/>
      </c>
      <c r="G42" s="5">
        <f>IF($A42="","",IF(COUNTIFS(Answers!$A$3:$A$400,$A42,Answers!$B$3:$B$400,"Halfway")=0,"",SUMPRODUCT((Answers!$A$3:$A$400=$A42)*(Answers!$B$3:$B$400="Halfway")*Answers!$L$3:$S$400)))</f>
        <v/>
      </c>
      <c r="H42" s="5">
        <f>IF($A42="","",IF(COUNTIFS(Answers!$A$3:$A$400,$A42,Answers!$B$3:$B$400,"Finish")=0,"",SUMPRODUCT((Answers!$A$3:$A$400=$A42)*(Answers!$B$3:$B$400="Finish")*Answers!$L$3:$S$400)))</f>
        <v/>
      </c>
      <c r="I42" s="26">
        <f>IF(OR(F42="",H42=""),"",H42-F42)</f>
        <v/>
      </c>
    </row>
    <row r="43">
      <c r="A43" s="13" t="n"/>
      <c r="B43" s="18">
        <f>IF($A43="","",IFERROR(SUMPRODUCT((Answers!$A$3:$A$400=$A43)*(Answers!$B$3:$B$400="Start")*Answers!$D$3:$K$400)/SUMPRODUCT((Answers!$A$3:$A$400=$A43)*(Answers!$B$3:$B$400="Start")*(Answers!$D$3:$K$400&lt;&gt;"")),""))</f>
        <v/>
      </c>
      <c r="C43" s="18">
        <f>IF($A43="","",IFERROR(SUMPRODUCT((Answers!$A$3:$A$400=$A43)*(Answers!$B$3:$B$400="Halfway")*Answers!$D$3:$K$400)/SUMPRODUCT((Answers!$A$3:$A$400=$A43)*(Answers!$B$3:$B$400="Halfway")*(Answers!$D$3:$K$400&lt;&gt;"")),""))</f>
        <v/>
      </c>
      <c r="D43" s="18">
        <f>IF($A43="","",IFERROR(SUMPRODUCT((Answers!$A$3:$A$400=$A43)*(Answers!$B$3:$B$400="Finish")*Answers!$D$3:$K$400)/SUMPRODUCT((Answers!$A$3:$A$400=$A43)*(Answers!$B$3:$B$400="Finish")*(Answers!$D$3:$K$400&lt;&gt;"")),""))</f>
        <v/>
      </c>
      <c r="E43" s="19">
        <f>IF(OR(B43="",D43=""),"",D43-B43)</f>
        <v/>
      </c>
      <c r="F43" s="5">
        <f>IF($A43="","",IF(COUNTIFS(Answers!$A$3:$A$400,$A43,Answers!$B$3:$B$400,"Start")=0,"",SUMPRODUCT((Answers!$A$3:$A$400=$A43)*(Answers!$B$3:$B$400="Start")*Answers!$L$3:$S$400)))</f>
        <v/>
      </c>
      <c r="G43" s="5">
        <f>IF($A43="","",IF(COUNTIFS(Answers!$A$3:$A$400,$A43,Answers!$B$3:$B$400,"Halfway")=0,"",SUMPRODUCT((Answers!$A$3:$A$400=$A43)*(Answers!$B$3:$B$400="Halfway")*Answers!$L$3:$S$400)))</f>
        <v/>
      </c>
      <c r="H43" s="5">
        <f>IF($A43="","",IF(COUNTIFS(Answers!$A$3:$A$400,$A43,Answers!$B$3:$B$400,"Finish")=0,"",SUMPRODUCT((Answers!$A$3:$A$400=$A43)*(Answers!$B$3:$B$400="Finish")*Answers!$L$3:$S$400)))</f>
        <v/>
      </c>
      <c r="I43" s="26">
        <f>IF(OR(F43="",H43=""),"",H43-F43)</f>
        <v/>
      </c>
    </row>
    <row r="44">
      <c r="A44" s="13" t="n"/>
      <c r="B44" s="18">
        <f>IF($A44="","",IFERROR(SUMPRODUCT((Answers!$A$3:$A$400=$A44)*(Answers!$B$3:$B$400="Start")*Answers!$D$3:$K$400)/SUMPRODUCT((Answers!$A$3:$A$400=$A44)*(Answers!$B$3:$B$400="Start")*(Answers!$D$3:$K$400&lt;&gt;"")),""))</f>
        <v/>
      </c>
      <c r="C44" s="18">
        <f>IF($A44="","",IFERROR(SUMPRODUCT((Answers!$A$3:$A$400=$A44)*(Answers!$B$3:$B$400="Halfway")*Answers!$D$3:$K$400)/SUMPRODUCT((Answers!$A$3:$A$400=$A44)*(Answers!$B$3:$B$400="Halfway")*(Answers!$D$3:$K$400&lt;&gt;"")),""))</f>
        <v/>
      </c>
      <c r="D44" s="18">
        <f>IF($A44="","",IFERROR(SUMPRODUCT((Answers!$A$3:$A$400=$A44)*(Answers!$B$3:$B$400="Finish")*Answers!$D$3:$K$400)/SUMPRODUCT((Answers!$A$3:$A$400=$A44)*(Answers!$B$3:$B$400="Finish")*(Answers!$D$3:$K$400&lt;&gt;"")),""))</f>
        <v/>
      </c>
      <c r="E44" s="19">
        <f>IF(OR(B44="",D44=""),"",D44-B44)</f>
        <v/>
      </c>
      <c r="F44" s="5">
        <f>IF($A44="","",IF(COUNTIFS(Answers!$A$3:$A$400,$A44,Answers!$B$3:$B$400,"Start")=0,"",SUMPRODUCT((Answers!$A$3:$A$400=$A44)*(Answers!$B$3:$B$400="Start")*Answers!$L$3:$S$400)))</f>
        <v/>
      </c>
      <c r="G44" s="5">
        <f>IF($A44="","",IF(COUNTIFS(Answers!$A$3:$A$400,$A44,Answers!$B$3:$B$400,"Halfway")=0,"",SUMPRODUCT((Answers!$A$3:$A$400=$A44)*(Answers!$B$3:$B$400="Halfway")*Answers!$L$3:$S$400)))</f>
        <v/>
      </c>
      <c r="H44" s="5">
        <f>IF($A44="","",IF(COUNTIFS(Answers!$A$3:$A$400,$A44,Answers!$B$3:$B$400,"Finish")=0,"",SUMPRODUCT((Answers!$A$3:$A$400=$A44)*(Answers!$B$3:$B$400="Finish")*Answers!$L$3:$S$400)))</f>
        <v/>
      </c>
      <c r="I44" s="26">
        <f>IF(OR(F44="",H44=""),"",H44-F44)</f>
        <v/>
      </c>
    </row>
    <row r="45">
      <c r="A45" s="13" t="n"/>
      <c r="B45" s="18">
        <f>IF($A45="","",IFERROR(SUMPRODUCT((Answers!$A$3:$A$400=$A45)*(Answers!$B$3:$B$400="Start")*Answers!$D$3:$K$400)/SUMPRODUCT((Answers!$A$3:$A$400=$A45)*(Answers!$B$3:$B$400="Start")*(Answers!$D$3:$K$400&lt;&gt;"")),""))</f>
        <v/>
      </c>
      <c r="C45" s="18">
        <f>IF($A45="","",IFERROR(SUMPRODUCT((Answers!$A$3:$A$400=$A45)*(Answers!$B$3:$B$400="Halfway")*Answers!$D$3:$K$400)/SUMPRODUCT((Answers!$A$3:$A$400=$A45)*(Answers!$B$3:$B$400="Halfway")*(Answers!$D$3:$K$400&lt;&gt;"")),""))</f>
        <v/>
      </c>
      <c r="D45" s="18">
        <f>IF($A45="","",IFERROR(SUMPRODUCT((Answers!$A$3:$A$400=$A45)*(Answers!$B$3:$B$400="Finish")*Answers!$D$3:$K$400)/SUMPRODUCT((Answers!$A$3:$A$400=$A45)*(Answers!$B$3:$B$400="Finish")*(Answers!$D$3:$K$400&lt;&gt;"")),""))</f>
        <v/>
      </c>
      <c r="E45" s="19">
        <f>IF(OR(B45="",D45=""),"",D45-B45)</f>
        <v/>
      </c>
      <c r="F45" s="5">
        <f>IF($A45="","",IF(COUNTIFS(Answers!$A$3:$A$400,$A45,Answers!$B$3:$B$400,"Start")=0,"",SUMPRODUCT((Answers!$A$3:$A$400=$A45)*(Answers!$B$3:$B$400="Start")*Answers!$L$3:$S$400)))</f>
        <v/>
      </c>
      <c r="G45" s="5">
        <f>IF($A45="","",IF(COUNTIFS(Answers!$A$3:$A$400,$A45,Answers!$B$3:$B$400,"Halfway")=0,"",SUMPRODUCT((Answers!$A$3:$A$400=$A45)*(Answers!$B$3:$B$400="Halfway")*Answers!$L$3:$S$400)))</f>
        <v/>
      </c>
      <c r="H45" s="5">
        <f>IF($A45="","",IF(COUNTIFS(Answers!$A$3:$A$400,$A45,Answers!$B$3:$B$400,"Finish")=0,"",SUMPRODUCT((Answers!$A$3:$A$400=$A45)*(Answers!$B$3:$B$400="Finish")*Answers!$L$3:$S$400)))</f>
        <v/>
      </c>
      <c r="I45" s="26">
        <f>IF(OR(F45="",H45=""),"",H45-F45)</f>
        <v/>
      </c>
    </row>
    <row r="46">
      <c r="A46" s="13" t="n"/>
      <c r="B46" s="18">
        <f>IF($A46="","",IFERROR(SUMPRODUCT((Answers!$A$3:$A$400=$A46)*(Answers!$B$3:$B$400="Start")*Answers!$D$3:$K$400)/SUMPRODUCT((Answers!$A$3:$A$400=$A46)*(Answers!$B$3:$B$400="Start")*(Answers!$D$3:$K$400&lt;&gt;"")),""))</f>
        <v/>
      </c>
      <c r="C46" s="18">
        <f>IF($A46="","",IFERROR(SUMPRODUCT((Answers!$A$3:$A$400=$A46)*(Answers!$B$3:$B$400="Halfway")*Answers!$D$3:$K$400)/SUMPRODUCT((Answers!$A$3:$A$400=$A46)*(Answers!$B$3:$B$400="Halfway")*(Answers!$D$3:$K$400&lt;&gt;"")),""))</f>
        <v/>
      </c>
      <c r="D46" s="18">
        <f>IF($A46="","",IFERROR(SUMPRODUCT((Answers!$A$3:$A$400=$A46)*(Answers!$B$3:$B$400="Finish")*Answers!$D$3:$K$400)/SUMPRODUCT((Answers!$A$3:$A$400=$A46)*(Answers!$B$3:$B$400="Finish")*(Answers!$D$3:$K$400&lt;&gt;"")),""))</f>
        <v/>
      </c>
      <c r="E46" s="19">
        <f>IF(OR(B46="",D46=""),"",D46-B46)</f>
        <v/>
      </c>
      <c r="F46" s="5">
        <f>IF($A46="","",IF(COUNTIFS(Answers!$A$3:$A$400,$A46,Answers!$B$3:$B$400,"Start")=0,"",SUMPRODUCT((Answers!$A$3:$A$400=$A46)*(Answers!$B$3:$B$400="Start")*Answers!$L$3:$S$400)))</f>
        <v/>
      </c>
      <c r="G46" s="5">
        <f>IF($A46="","",IF(COUNTIFS(Answers!$A$3:$A$400,$A46,Answers!$B$3:$B$400,"Halfway")=0,"",SUMPRODUCT((Answers!$A$3:$A$400=$A46)*(Answers!$B$3:$B$400="Halfway")*Answers!$L$3:$S$400)))</f>
        <v/>
      </c>
      <c r="H46" s="5">
        <f>IF($A46="","",IF(COUNTIFS(Answers!$A$3:$A$400,$A46,Answers!$B$3:$B$400,"Finish")=0,"",SUMPRODUCT((Answers!$A$3:$A$400=$A46)*(Answers!$B$3:$B$400="Finish")*Answers!$L$3:$S$400)))</f>
        <v/>
      </c>
      <c r="I46" s="26">
        <f>IF(OR(F46="",H46=""),"",H46-F46)</f>
        <v/>
      </c>
    </row>
    <row r="47">
      <c r="A47" s="13" t="n"/>
      <c r="B47" s="18">
        <f>IF($A47="","",IFERROR(SUMPRODUCT((Answers!$A$3:$A$400=$A47)*(Answers!$B$3:$B$400="Start")*Answers!$D$3:$K$400)/SUMPRODUCT((Answers!$A$3:$A$400=$A47)*(Answers!$B$3:$B$400="Start")*(Answers!$D$3:$K$400&lt;&gt;"")),""))</f>
        <v/>
      </c>
      <c r="C47" s="18">
        <f>IF($A47="","",IFERROR(SUMPRODUCT((Answers!$A$3:$A$400=$A47)*(Answers!$B$3:$B$400="Halfway")*Answers!$D$3:$K$400)/SUMPRODUCT((Answers!$A$3:$A$400=$A47)*(Answers!$B$3:$B$400="Halfway")*(Answers!$D$3:$K$400&lt;&gt;"")),""))</f>
        <v/>
      </c>
      <c r="D47" s="18">
        <f>IF($A47="","",IFERROR(SUMPRODUCT((Answers!$A$3:$A$400=$A47)*(Answers!$B$3:$B$400="Finish")*Answers!$D$3:$K$400)/SUMPRODUCT((Answers!$A$3:$A$400=$A47)*(Answers!$B$3:$B$400="Finish")*(Answers!$D$3:$K$400&lt;&gt;"")),""))</f>
        <v/>
      </c>
      <c r="E47" s="19">
        <f>IF(OR(B47="",D47=""),"",D47-B47)</f>
        <v/>
      </c>
      <c r="F47" s="5">
        <f>IF($A47="","",IF(COUNTIFS(Answers!$A$3:$A$400,$A47,Answers!$B$3:$B$400,"Start")=0,"",SUMPRODUCT((Answers!$A$3:$A$400=$A47)*(Answers!$B$3:$B$400="Start")*Answers!$L$3:$S$400)))</f>
        <v/>
      </c>
      <c r="G47" s="5">
        <f>IF($A47="","",IF(COUNTIFS(Answers!$A$3:$A$400,$A47,Answers!$B$3:$B$400,"Halfway")=0,"",SUMPRODUCT((Answers!$A$3:$A$400=$A47)*(Answers!$B$3:$B$400="Halfway")*Answers!$L$3:$S$400)))</f>
        <v/>
      </c>
      <c r="H47" s="5">
        <f>IF($A47="","",IF(COUNTIFS(Answers!$A$3:$A$400,$A47,Answers!$B$3:$B$400,"Finish")=0,"",SUMPRODUCT((Answers!$A$3:$A$400=$A47)*(Answers!$B$3:$B$400="Finish")*Answers!$L$3:$S$400)))</f>
        <v/>
      </c>
      <c r="I47" s="26">
        <f>IF(OR(F47="",H47=""),"",H47-F47)</f>
        <v/>
      </c>
    </row>
    <row r="48">
      <c r="A48" s="13" t="n"/>
      <c r="B48" s="18">
        <f>IF($A48="","",IFERROR(SUMPRODUCT((Answers!$A$3:$A$400=$A48)*(Answers!$B$3:$B$400="Start")*Answers!$D$3:$K$400)/SUMPRODUCT((Answers!$A$3:$A$400=$A48)*(Answers!$B$3:$B$400="Start")*(Answers!$D$3:$K$400&lt;&gt;"")),""))</f>
        <v/>
      </c>
      <c r="C48" s="18">
        <f>IF($A48="","",IFERROR(SUMPRODUCT((Answers!$A$3:$A$400=$A48)*(Answers!$B$3:$B$400="Halfway")*Answers!$D$3:$K$400)/SUMPRODUCT((Answers!$A$3:$A$400=$A48)*(Answers!$B$3:$B$400="Halfway")*(Answers!$D$3:$K$400&lt;&gt;"")),""))</f>
        <v/>
      </c>
      <c r="D48" s="18">
        <f>IF($A48="","",IFERROR(SUMPRODUCT((Answers!$A$3:$A$400=$A48)*(Answers!$B$3:$B$400="Finish")*Answers!$D$3:$K$400)/SUMPRODUCT((Answers!$A$3:$A$400=$A48)*(Answers!$B$3:$B$400="Finish")*(Answers!$D$3:$K$400&lt;&gt;"")),""))</f>
        <v/>
      </c>
      <c r="E48" s="19">
        <f>IF(OR(B48="",D48=""),"",D48-B48)</f>
        <v/>
      </c>
      <c r="F48" s="5">
        <f>IF($A48="","",IF(COUNTIFS(Answers!$A$3:$A$400,$A48,Answers!$B$3:$B$400,"Start")=0,"",SUMPRODUCT((Answers!$A$3:$A$400=$A48)*(Answers!$B$3:$B$400="Start")*Answers!$L$3:$S$400)))</f>
        <v/>
      </c>
      <c r="G48" s="5">
        <f>IF($A48="","",IF(COUNTIFS(Answers!$A$3:$A$400,$A48,Answers!$B$3:$B$400,"Halfway")=0,"",SUMPRODUCT((Answers!$A$3:$A$400=$A48)*(Answers!$B$3:$B$400="Halfway")*Answers!$L$3:$S$400)))</f>
        <v/>
      </c>
      <c r="H48" s="5">
        <f>IF($A48="","",IF(COUNTIFS(Answers!$A$3:$A$400,$A48,Answers!$B$3:$B$400,"Finish")=0,"",SUMPRODUCT((Answers!$A$3:$A$400=$A48)*(Answers!$B$3:$B$400="Finish")*Answers!$L$3:$S$400)))</f>
        <v/>
      </c>
      <c r="I48" s="26">
        <f>IF(OR(F48="",H48=""),"",H48-F48)</f>
        <v/>
      </c>
    </row>
    <row r="49">
      <c r="A49" s="13" t="n"/>
      <c r="B49" s="18">
        <f>IF($A49="","",IFERROR(SUMPRODUCT((Answers!$A$3:$A$400=$A49)*(Answers!$B$3:$B$400="Start")*Answers!$D$3:$K$400)/SUMPRODUCT((Answers!$A$3:$A$400=$A49)*(Answers!$B$3:$B$400="Start")*(Answers!$D$3:$K$400&lt;&gt;"")),""))</f>
        <v/>
      </c>
      <c r="C49" s="18">
        <f>IF($A49="","",IFERROR(SUMPRODUCT((Answers!$A$3:$A$400=$A49)*(Answers!$B$3:$B$400="Halfway")*Answers!$D$3:$K$400)/SUMPRODUCT((Answers!$A$3:$A$400=$A49)*(Answers!$B$3:$B$400="Halfway")*(Answers!$D$3:$K$400&lt;&gt;"")),""))</f>
        <v/>
      </c>
      <c r="D49" s="18">
        <f>IF($A49="","",IFERROR(SUMPRODUCT((Answers!$A$3:$A$400=$A49)*(Answers!$B$3:$B$400="Finish")*Answers!$D$3:$K$400)/SUMPRODUCT((Answers!$A$3:$A$400=$A49)*(Answers!$B$3:$B$400="Finish")*(Answers!$D$3:$K$400&lt;&gt;"")),""))</f>
        <v/>
      </c>
      <c r="E49" s="19">
        <f>IF(OR(B49="",D49=""),"",D49-B49)</f>
        <v/>
      </c>
      <c r="F49" s="5">
        <f>IF($A49="","",IF(COUNTIFS(Answers!$A$3:$A$400,$A49,Answers!$B$3:$B$400,"Start")=0,"",SUMPRODUCT((Answers!$A$3:$A$400=$A49)*(Answers!$B$3:$B$400="Start")*Answers!$L$3:$S$400)))</f>
        <v/>
      </c>
      <c r="G49" s="5">
        <f>IF($A49="","",IF(COUNTIFS(Answers!$A$3:$A$400,$A49,Answers!$B$3:$B$400,"Halfway")=0,"",SUMPRODUCT((Answers!$A$3:$A$400=$A49)*(Answers!$B$3:$B$400="Halfway")*Answers!$L$3:$S$400)))</f>
        <v/>
      </c>
      <c r="H49" s="5">
        <f>IF($A49="","",IF(COUNTIFS(Answers!$A$3:$A$400,$A49,Answers!$B$3:$B$400,"Finish")=0,"",SUMPRODUCT((Answers!$A$3:$A$400=$A49)*(Answers!$B$3:$B$400="Finish")*Answers!$L$3:$S$400)))</f>
        <v/>
      </c>
      <c r="I49" s="26">
        <f>IF(OR(F49="",H49=""),"",H49-F49)</f>
        <v/>
      </c>
    </row>
    <row r="50">
      <c r="A50" s="13" t="n"/>
      <c r="B50" s="18">
        <f>IF($A50="","",IFERROR(SUMPRODUCT((Answers!$A$3:$A$400=$A50)*(Answers!$B$3:$B$400="Start")*Answers!$D$3:$K$400)/SUMPRODUCT((Answers!$A$3:$A$400=$A50)*(Answers!$B$3:$B$400="Start")*(Answers!$D$3:$K$400&lt;&gt;"")),""))</f>
        <v/>
      </c>
      <c r="C50" s="18">
        <f>IF($A50="","",IFERROR(SUMPRODUCT((Answers!$A$3:$A$400=$A50)*(Answers!$B$3:$B$400="Halfway")*Answers!$D$3:$K$400)/SUMPRODUCT((Answers!$A$3:$A$400=$A50)*(Answers!$B$3:$B$400="Halfway")*(Answers!$D$3:$K$400&lt;&gt;"")),""))</f>
        <v/>
      </c>
      <c r="D50" s="18">
        <f>IF($A50="","",IFERROR(SUMPRODUCT((Answers!$A$3:$A$400=$A50)*(Answers!$B$3:$B$400="Finish")*Answers!$D$3:$K$400)/SUMPRODUCT((Answers!$A$3:$A$400=$A50)*(Answers!$B$3:$B$400="Finish")*(Answers!$D$3:$K$400&lt;&gt;"")),""))</f>
        <v/>
      </c>
      <c r="E50" s="19">
        <f>IF(OR(B50="",D50=""),"",D50-B50)</f>
        <v/>
      </c>
      <c r="F50" s="5">
        <f>IF($A50="","",IF(COUNTIFS(Answers!$A$3:$A$400,$A50,Answers!$B$3:$B$400,"Start")=0,"",SUMPRODUCT((Answers!$A$3:$A$400=$A50)*(Answers!$B$3:$B$400="Start")*Answers!$L$3:$S$400)))</f>
        <v/>
      </c>
      <c r="G50" s="5">
        <f>IF($A50="","",IF(COUNTIFS(Answers!$A$3:$A$400,$A50,Answers!$B$3:$B$400,"Halfway")=0,"",SUMPRODUCT((Answers!$A$3:$A$400=$A50)*(Answers!$B$3:$B$400="Halfway")*Answers!$L$3:$S$400)))</f>
        <v/>
      </c>
      <c r="H50" s="5">
        <f>IF($A50="","",IF(COUNTIFS(Answers!$A$3:$A$400,$A50,Answers!$B$3:$B$400,"Finish")=0,"",SUMPRODUCT((Answers!$A$3:$A$400=$A50)*(Answers!$B$3:$B$400="Finish")*Answers!$L$3:$S$400)))</f>
        <v/>
      </c>
      <c r="I50" s="26">
        <f>IF(OR(F50="",H50=""),"",H50-F50)</f>
        <v/>
      </c>
    </row>
    <row r="51">
      <c r="A51" s="13" t="n"/>
      <c r="B51" s="18">
        <f>IF($A51="","",IFERROR(SUMPRODUCT((Answers!$A$3:$A$400=$A51)*(Answers!$B$3:$B$400="Start")*Answers!$D$3:$K$400)/SUMPRODUCT((Answers!$A$3:$A$400=$A51)*(Answers!$B$3:$B$400="Start")*(Answers!$D$3:$K$400&lt;&gt;"")),""))</f>
        <v/>
      </c>
      <c r="C51" s="18">
        <f>IF($A51="","",IFERROR(SUMPRODUCT((Answers!$A$3:$A$400=$A51)*(Answers!$B$3:$B$400="Halfway")*Answers!$D$3:$K$400)/SUMPRODUCT((Answers!$A$3:$A$400=$A51)*(Answers!$B$3:$B$400="Halfway")*(Answers!$D$3:$K$400&lt;&gt;"")),""))</f>
        <v/>
      </c>
      <c r="D51" s="18">
        <f>IF($A51="","",IFERROR(SUMPRODUCT((Answers!$A$3:$A$400=$A51)*(Answers!$B$3:$B$400="Finish")*Answers!$D$3:$K$400)/SUMPRODUCT((Answers!$A$3:$A$400=$A51)*(Answers!$B$3:$B$400="Finish")*(Answers!$D$3:$K$400&lt;&gt;"")),""))</f>
        <v/>
      </c>
      <c r="E51" s="19">
        <f>IF(OR(B51="",D51=""),"",D51-B51)</f>
        <v/>
      </c>
      <c r="F51" s="5">
        <f>IF($A51="","",IF(COUNTIFS(Answers!$A$3:$A$400,$A51,Answers!$B$3:$B$400,"Start")=0,"",SUMPRODUCT((Answers!$A$3:$A$400=$A51)*(Answers!$B$3:$B$400="Start")*Answers!$L$3:$S$400)))</f>
        <v/>
      </c>
      <c r="G51" s="5">
        <f>IF($A51="","",IF(COUNTIFS(Answers!$A$3:$A$400,$A51,Answers!$B$3:$B$400,"Halfway")=0,"",SUMPRODUCT((Answers!$A$3:$A$400=$A51)*(Answers!$B$3:$B$400="Halfway")*Answers!$L$3:$S$400)))</f>
        <v/>
      </c>
      <c r="H51" s="5">
        <f>IF($A51="","",IF(COUNTIFS(Answers!$A$3:$A$400,$A51,Answers!$B$3:$B$400,"Finish")=0,"",SUMPRODUCT((Answers!$A$3:$A$400=$A51)*(Answers!$B$3:$B$400="Finish")*Answers!$L$3:$S$400)))</f>
        <v/>
      </c>
      <c r="I51" s="26">
        <f>IF(OR(F51="",H51=""),"",H51-F51)</f>
        <v/>
      </c>
    </row>
    <row r="52">
      <c r="A52" s="13" t="n"/>
      <c r="B52" s="18">
        <f>IF($A52="","",IFERROR(SUMPRODUCT((Answers!$A$3:$A$400=$A52)*(Answers!$B$3:$B$400="Start")*Answers!$D$3:$K$400)/SUMPRODUCT((Answers!$A$3:$A$400=$A52)*(Answers!$B$3:$B$400="Start")*(Answers!$D$3:$K$400&lt;&gt;"")),""))</f>
        <v/>
      </c>
      <c r="C52" s="18">
        <f>IF($A52="","",IFERROR(SUMPRODUCT((Answers!$A$3:$A$400=$A52)*(Answers!$B$3:$B$400="Halfway")*Answers!$D$3:$K$400)/SUMPRODUCT((Answers!$A$3:$A$400=$A52)*(Answers!$B$3:$B$400="Halfway")*(Answers!$D$3:$K$400&lt;&gt;"")),""))</f>
        <v/>
      </c>
      <c r="D52" s="18">
        <f>IF($A52="","",IFERROR(SUMPRODUCT((Answers!$A$3:$A$400=$A52)*(Answers!$B$3:$B$400="Finish")*Answers!$D$3:$K$400)/SUMPRODUCT((Answers!$A$3:$A$400=$A52)*(Answers!$B$3:$B$400="Finish")*(Answers!$D$3:$K$400&lt;&gt;"")),""))</f>
        <v/>
      </c>
      <c r="E52" s="19">
        <f>IF(OR(B52="",D52=""),"",D52-B52)</f>
        <v/>
      </c>
      <c r="F52" s="5">
        <f>IF($A52="","",IF(COUNTIFS(Answers!$A$3:$A$400,$A52,Answers!$B$3:$B$400,"Start")=0,"",SUMPRODUCT((Answers!$A$3:$A$400=$A52)*(Answers!$B$3:$B$400="Start")*Answers!$L$3:$S$400)))</f>
        <v/>
      </c>
      <c r="G52" s="5">
        <f>IF($A52="","",IF(COUNTIFS(Answers!$A$3:$A$400,$A52,Answers!$B$3:$B$400,"Halfway")=0,"",SUMPRODUCT((Answers!$A$3:$A$400=$A52)*(Answers!$B$3:$B$400="Halfway")*Answers!$L$3:$S$400)))</f>
        <v/>
      </c>
      <c r="H52" s="5">
        <f>IF($A52="","",IF(COUNTIFS(Answers!$A$3:$A$400,$A52,Answers!$B$3:$B$400,"Finish")=0,"",SUMPRODUCT((Answers!$A$3:$A$400=$A52)*(Answers!$B$3:$B$400="Finish")*Answers!$L$3:$S$400)))</f>
        <v/>
      </c>
      <c r="I52" s="26">
        <f>IF(OR(F52="",H52=""),"",H52-F52)</f>
        <v/>
      </c>
    </row>
    <row r="53">
      <c r="A53" s="13" t="n"/>
      <c r="B53" s="18">
        <f>IF($A53="","",IFERROR(SUMPRODUCT((Answers!$A$3:$A$400=$A53)*(Answers!$B$3:$B$400="Start")*Answers!$D$3:$K$400)/SUMPRODUCT((Answers!$A$3:$A$400=$A53)*(Answers!$B$3:$B$400="Start")*(Answers!$D$3:$K$400&lt;&gt;"")),""))</f>
        <v/>
      </c>
      <c r="C53" s="18">
        <f>IF($A53="","",IFERROR(SUMPRODUCT((Answers!$A$3:$A$400=$A53)*(Answers!$B$3:$B$400="Halfway")*Answers!$D$3:$K$400)/SUMPRODUCT((Answers!$A$3:$A$400=$A53)*(Answers!$B$3:$B$400="Halfway")*(Answers!$D$3:$K$400&lt;&gt;"")),""))</f>
        <v/>
      </c>
      <c r="D53" s="18">
        <f>IF($A53="","",IFERROR(SUMPRODUCT((Answers!$A$3:$A$400=$A53)*(Answers!$B$3:$B$400="Finish")*Answers!$D$3:$K$400)/SUMPRODUCT((Answers!$A$3:$A$400=$A53)*(Answers!$B$3:$B$400="Finish")*(Answers!$D$3:$K$400&lt;&gt;"")),""))</f>
        <v/>
      </c>
      <c r="E53" s="19">
        <f>IF(OR(B53="",D53=""),"",D53-B53)</f>
        <v/>
      </c>
      <c r="F53" s="5">
        <f>IF($A53="","",IF(COUNTIFS(Answers!$A$3:$A$400,$A53,Answers!$B$3:$B$400,"Start")=0,"",SUMPRODUCT((Answers!$A$3:$A$400=$A53)*(Answers!$B$3:$B$400="Start")*Answers!$L$3:$S$400)))</f>
        <v/>
      </c>
      <c r="G53" s="5">
        <f>IF($A53="","",IF(COUNTIFS(Answers!$A$3:$A$400,$A53,Answers!$B$3:$B$400,"Halfway")=0,"",SUMPRODUCT((Answers!$A$3:$A$400=$A53)*(Answers!$B$3:$B$400="Halfway")*Answers!$L$3:$S$400)))</f>
        <v/>
      </c>
      <c r="H53" s="5">
        <f>IF($A53="","",IF(COUNTIFS(Answers!$A$3:$A$400,$A53,Answers!$B$3:$B$400,"Finish")=0,"",SUMPRODUCT((Answers!$A$3:$A$400=$A53)*(Answers!$B$3:$B$400="Finish")*Answers!$L$3:$S$400)))</f>
        <v/>
      </c>
      <c r="I53" s="26">
        <f>IF(OR(F53="",H53=""),"",H53-F53)</f>
        <v/>
      </c>
    </row>
    <row r="54">
      <c r="A54" s="13" t="n"/>
      <c r="B54" s="18">
        <f>IF($A54="","",IFERROR(SUMPRODUCT((Answers!$A$3:$A$400=$A54)*(Answers!$B$3:$B$400="Start")*Answers!$D$3:$K$400)/SUMPRODUCT((Answers!$A$3:$A$400=$A54)*(Answers!$B$3:$B$400="Start")*(Answers!$D$3:$K$400&lt;&gt;"")),""))</f>
        <v/>
      </c>
      <c r="C54" s="18">
        <f>IF($A54="","",IFERROR(SUMPRODUCT((Answers!$A$3:$A$400=$A54)*(Answers!$B$3:$B$400="Halfway")*Answers!$D$3:$K$400)/SUMPRODUCT((Answers!$A$3:$A$400=$A54)*(Answers!$B$3:$B$400="Halfway")*(Answers!$D$3:$K$400&lt;&gt;"")),""))</f>
        <v/>
      </c>
      <c r="D54" s="18">
        <f>IF($A54="","",IFERROR(SUMPRODUCT((Answers!$A$3:$A$400=$A54)*(Answers!$B$3:$B$400="Finish")*Answers!$D$3:$K$400)/SUMPRODUCT((Answers!$A$3:$A$400=$A54)*(Answers!$B$3:$B$400="Finish")*(Answers!$D$3:$K$400&lt;&gt;"")),""))</f>
        <v/>
      </c>
      <c r="E54" s="19">
        <f>IF(OR(B54="",D54=""),"",D54-B54)</f>
        <v/>
      </c>
      <c r="F54" s="5">
        <f>IF($A54="","",IF(COUNTIFS(Answers!$A$3:$A$400,$A54,Answers!$B$3:$B$400,"Start")=0,"",SUMPRODUCT((Answers!$A$3:$A$400=$A54)*(Answers!$B$3:$B$400="Start")*Answers!$L$3:$S$400)))</f>
        <v/>
      </c>
      <c r="G54" s="5">
        <f>IF($A54="","",IF(COUNTIFS(Answers!$A$3:$A$400,$A54,Answers!$B$3:$B$400,"Halfway")=0,"",SUMPRODUCT((Answers!$A$3:$A$400=$A54)*(Answers!$B$3:$B$400="Halfway")*Answers!$L$3:$S$400)))</f>
        <v/>
      </c>
      <c r="H54" s="5">
        <f>IF($A54="","",IF(COUNTIFS(Answers!$A$3:$A$400,$A54,Answers!$B$3:$B$400,"Finish")=0,"",SUMPRODUCT((Answers!$A$3:$A$400=$A54)*(Answers!$B$3:$B$400="Finish")*Answers!$L$3:$S$400)))</f>
        <v/>
      </c>
      <c r="I54" s="26">
        <f>IF(OR(F54="",H54=""),"",H54-F54)</f>
        <v/>
      </c>
    </row>
    <row r="55">
      <c r="A55" s="13" t="n"/>
      <c r="B55" s="18">
        <f>IF($A55="","",IFERROR(SUMPRODUCT((Answers!$A$3:$A$400=$A55)*(Answers!$B$3:$B$400="Start")*Answers!$D$3:$K$400)/SUMPRODUCT((Answers!$A$3:$A$400=$A55)*(Answers!$B$3:$B$400="Start")*(Answers!$D$3:$K$400&lt;&gt;"")),""))</f>
        <v/>
      </c>
      <c r="C55" s="18">
        <f>IF($A55="","",IFERROR(SUMPRODUCT((Answers!$A$3:$A$400=$A55)*(Answers!$B$3:$B$400="Halfway")*Answers!$D$3:$K$400)/SUMPRODUCT((Answers!$A$3:$A$400=$A55)*(Answers!$B$3:$B$400="Halfway")*(Answers!$D$3:$K$400&lt;&gt;"")),""))</f>
        <v/>
      </c>
      <c r="D55" s="18">
        <f>IF($A55="","",IFERROR(SUMPRODUCT((Answers!$A$3:$A$400=$A55)*(Answers!$B$3:$B$400="Finish")*Answers!$D$3:$K$400)/SUMPRODUCT((Answers!$A$3:$A$400=$A55)*(Answers!$B$3:$B$400="Finish")*(Answers!$D$3:$K$400&lt;&gt;"")),""))</f>
        <v/>
      </c>
      <c r="E55" s="19">
        <f>IF(OR(B55="",D55=""),"",D55-B55)</f>
        <v/>
      </c>
      <c r="F55" s="5">
        <f>IF($A55="","",IF(COUNTIFS(Answers!$A$3:$A$400,$A55,Answers!$B$3:$B$400,"Start")=0,"",SUMPRODUCT((Answers!$A$3:$A$400=$A55)*(Answers!$B$3:$B$400="Start")*Answers!$L$3:$S$400)))</f>
        <v/>
      </c>
      <c r="G55" s="5">
        <f>IF($A55="","",IF(COUNTIFS(Answers!$A$3:$A$400,$A55,Answers!$B$3:$B$400,"Halfway")=0,"",SUMPRODUCT((Answers!$A$3:$A$400=$A55)*(Answers!$B$3:$B$400="Halfway")*Answers!$L$3:$S$400)))</f>
        <v/>
      </c>
      <c r="H55" s="5">
        <f>IF($A55="","",IF(COUNTIFS(Answers!$A$3:$A$400,$A55,Answers!$B$3:$B$400,"Finish")=0,"",SUMPRODUCT((Answers!$A$3:$A$400=$A55)*(Answers!$B$3:$B$400="Finish")*Answers!$L$3:$S$400)))</f>
        <v/>
      </c>
      <c r="I55" s="26">
        <f>IF(OR(F55="",H55=""),"",H55-F55)</f>
        <v/>
      </c>
    </row>
    <row r="56">
      <c r="A56" s="13" t="n"/>
      <c r="B56" s="18">
        <f>IF($A56="","",IFERROR(SUMPRODUCT((Answers!$A$3:$A$400=$A56)*(Answers!$B$3:$B$400="Start")*Answers!$D$3:$K$400)/SUMPRODUCT((Answers!$A$3:$A$400=$A56)*(Answers!$B$3:$B$400="Start")*(Answers!$D$3:$K$400&lt;&gt;"")),""))</f>
        <v/>
      </c>
      <c r="C56" s="18">
        <f>IF($A56="","",IFERROR(SUMPRODUCT((Answers!$A$3:$A$400=$A56)*(Answers!$B$3:$B$400="Halfway")*Answers!$D$3:$K$400)/SUMPRODUCT((Answers!$A$3:$A$400=$A56)*(Answers!$B$3:$B$400="Halfway")*(Answers!$D$3:$K$400&lt;&gt;"")),""))</f>
        <v/>
      </c>
      <c r="D56" s="18">
        <f>IF($A56="","",IFERROR(SUMPRODUCT((Answers!$A$3:$A$400=$A56)*(Answers!$B$3:$B$400="Finish")*Answers!$D$3:$K$400)/SUMPRODUCT((Answers!$A$3:$A$400=$A56)*(Answers!$B$3:$B$400="Finish")*(Answers!$D$3:$K$400&lt;&gt;"")),""))</f>
        <v/>
      </c>
      <c r="E56" s="19">
        <f>IF(OR(B56="",D56=""),"",D56-B56)</f>
        <v/>
      </c>
      <c r="F56" s="5">
        <f>IF($A56="","",IF(COUNTIFS(Answers!$A$3:$A$400,$A56,Answers!$B$3:$B$400,"Start")=0,"",SUMPRODUCT((Answers!$A$3:$A$400=$A56)*(Answers!$B$3:$B$400="Start")*Answers!$L$3:$S$400)))</f>
        <v/>
      </c>
      <c r="G56" s="5">
        <f>IF($A56="","",IF(COUNTIFS(Answers!$A$3:$A$400,$A56,Answers!$B$3:$B$400,"Halfway")=0,"",SUMPRODUCT((Answers!$A$3:$A$400=$A56)*(Answers!$B$3:$B$400="Halfway")*Answers!$L$3:$S$400)))</f>
        <v/>
      </c>
      <c r="H56" s="5">
        <f>IF($A56="","",IF(COUNTIFS(Answers!$A$3:$A$400,$A56,Answers!$B$3:$B$400,"Finish")=0,"",SUMPRODUCT((Answers!$A$3:$A$400=$A56)*(Answers!$B$3:$B$400="Finish")*Answers!$L$3:$S$400)))</f>
        <v/>
      </c>
      <c r="I56" s="26">
        <f>IF(OR(F56="",H56=""),"",H56-F56)</f>
        <v/>
      </c>
    </row>
    <row r="57">
      <c r="A57" s="13" t="n"/>
      <c r="B57" s="18">
        <f>IF($A57="","",IFERROR(SUMPRODUCT((Answers!$A$3:$A$400=$A57)*(Answers!$B$3:$B$400="Start")*Answers!$D$3:$K$400)/SUMPRODUCT((Answers!$A$3:$A$400=$A57)*(Answers!$B$3:$B$400="Start")*(Answers!$D$3:$K$400&lt;&gt;"")),""))</f>
        <v/>
      </c>
      <c r="C57" s="18">
        <f>IF($A57="","",IFERROR(SUMPRODUCT((Answers!$A$3:$A$400=$A57)*(Answers!$B$3:$B$400="Halfway")*Answers!$D$3:$K$400)/SUMPRODUCT((Answers!$A$3:$A$400=$A57)*(Answers!$B$3:$B$400="Halfway")*(Answers!$D$3:$K$400&lt;&gt;"")),""))</f>
        <v/>
      </c>
      <c r="D57" s="18">
        <f>IF($A57="","",IFERROR(SUMPRODUCT((Answers!$A$3:$A$400=$A57)*(Answers!$B$3:$B$400="Finish")*Answers!$D$3:$K$400)/SUMPRODUCT((Answers!$A$3:$A$400=$A57)*(Answers!$B$3:$B$400="Finish")*(Answers!$D$3:$K$400&lt;&gt;"")),""))</f>
        <v/>
      </c>
      <c r="E57" s="19">
        <f>IF(OR(B57="",D57=""),"",D57-B57)</f>
        <v/>
      </c>
      <c r="F57" s="5">
        <f>IF($A57="","",IF(COUNTIFS(Answers!$A$3:$A$400,$A57,Answers!$B$3:$B$400,"Start")=0,"",SUMPRODUCT((Answers!$A$3:$A$400=$A57)*(Answers!$B$3:$B$400="Start")*Answers!$L$3:$S$400)))</f>
        <v/>
      </c>
      <c r="G57" s="5">
        <f>IF($A57="","",IF(COUNTIFS(Answers!$A$3:$A$400,$A57,Answers!$B$3:$B$400,"Halfway")=0,"",SUMPRODUCT((Answers!$A$3:$A$400=$A57)*(Answers!$B$3:$B$400="Halfway")*Answers!$L$3:$S$400)))</f>
        <v/>
      </c>
      <c r="H57" s="5">
        <f>IF($A57="","",IF(COUNTIFS(Answers!$A$3:$A$400,$A57,Answers!$B$3:$B$400,"Finish")=0,"",SUMPRODUCT((Answers!$A$3:$A$400=$A57)*(Answers!$B$3:$B$400="Finish")*Answers!$L$3:$S$400)))</f>
        <v/>
      </c>
      <c r="I57" s="26">
        <f>IF(OR(F57="",H57=""),"",H57-F57)</f>
        <v/>
      </c>
    </row>
    <row r="58">
      <c r="A58" s="13" t="n"/>
      <c r="B58" s="18">
        <f>IF($A58="","",IFERROR(SUMPRODUCT((Answers!$A$3:$A$400=$A58)*(Answers!$B$3:$B$400="Start")*Answers!$D$3:$K$400)/SUMPRODUCT((Answers!$A$3:$A$400=$A58)*(Answers!$B$3:$B$400="Start")*(Answers!$D$3:$K$400&lt;&gt;"")),""))</f>
        <v/>
      </c>
      <c r="C58" s="18">
        <f>IF($A58="","",IFERROR(SUMPRODUCT((Answers!$A$3:$A$400=$A58)*(Answers!$B$3:$B$400="Halfway")*Answers!$D$3:$K$400)/SUMPRODUCT((Answers!$A$3:$A$400=$A58)*(Answers!$B$3:$B$400="Halfway")*(Answers!$D$3:$K$400&lt;&gt;"")),""))</f>
        <v/>
      </c>
      <c r="D58" s="18">
        <f>IF($A58="","",IFERROR(SUMPRODUCT((Answers!$A$3:$A$400=$A58)*(Answers!$B$3:$B$400="Finish")*Answers!$D$3:$K$400)/SUMPRODUCT((Answers!$A$3:$A$400=$A58)*(Answers!$B$3:$B$400="Finish")*(Answers!$D$3:$K$400&lt;&gt;"")),""))</f>
        <v/>
      </c>
      <c r="E58" s="19">
        <f>IF(OR(B58="",D58=""),"",D58-B58)</f>
        <v/>
      </c>
      <c r="F58" s="5">
        <f>IF($A58="","",IF(COUNTIFS(Answers!$A$3:$A$400,$A58,Answers!$B$3:$B$400,"Start")=0,"",SUMPRODUCT((Answers!$A$3:$A$400=$A58)*(Answers!$B$3:$B$400="Start")*Answers!$L$3:$S$400)))</f>
        <v/>
      </c>
      <c r="G58" s="5">
        <f>IF($A58="","",IF(COUNTIFS(Answers!$A$3:$A$400,$A58,Answers!$B$3:$B$400,"Halfway")=0,"",SUMPRODUCT((Answers!$A$3:$A$400=$A58)*(Answers!$B$3:$B$400="Halfway")*Answers!$L$3:$S$400)))</f>
        <v/>
      </c>
      <c r="H58" s="5">
        <f>IF($A58="","",IF(COUNTIFS(Answers!$A$3:$A$400,$A58,Answers!$B$3:$B$400,"Finish")=0,"",SUMPRODUCT((Answers!$A$3:$A$400=$A58)*(Answers!$B$3:$B$400="Finish")*Answers!$L$3:$S$400)))</f>
        <v/>
      </c>
      <c r="I58" s="26">
        <f>IF(OR(F58="",H58=""),"",H58-F58)</f>
        <v/>
      </c>
    </row>
    <row r="59">
      <c r="A59" s="13" t="n"/>
      <c r="B59" s="18">
        <f>IF($A59="","",IFERROR(SUMPRODUCT((Answers!$A$3:$A$400=$A59)*(Answers!$B$3:$B$400="Start")*Answers!$D$3:$K$400)/SUMPRODUCT((Answers!$A$3:$A$400=$A59)*(Answers!$B$3:$B$400="Start")*(Answers!$D$3:$K$400&lt;&gt;"")),""))</f>
        <v/>
      </c>
      <c r="C59" s="18">
        <f>IF($A59="","",IFERROR(SUMPRODUCT((Answers!$A$3:$A$400=$A59)*(Answers!$B$3:$B$400="Halfway")*Answers!$D$3:$K$400)/SUMPRODUCT((Answers!$A$3:$A$400=$A59)*(Answers!$B$3:$B$400="Halfway")*(Answers!$D$3:$K$400&lt;&gt;"")),""))</f>
        <v/>
      </c>
      <c r="D59" s="18">
        <f>IF($A59="","",IFERROR(SUMPRODUCT((Answers!$A$3:$A$400=$A59)*(Answers!$B$3:$B$400="Finish")*Answers!$D$3:$K$400)/SUMPRODUCT((Answers!$A$3:$A$400=$A59)*(Answers!$B$3:$B$400="Finish")*(Answers!$D$3:$K$400&lt;&gt;"")),""))</f>
        <v/>
      </c>
      <c r="E59" s="19">
        <f>IF(OR(B59="",D59=""),"",D59-B59)</f>
        <v/>
      </c>
      <c r="F59" s="5">
        <f>IF($A59="","",IF(COUNTIFS(Answers!$A$3:$A$400,$A59,Answers!$B$3:$B$400,"Start")=0,"",SUMPRODUCT((Answers!$A$3:$A$400=$A59)*(Answers!$B$3:$B$400="Start")*Answers!$L$3:$S$400)))</f>
        <v/>
      </c>
      <c r="G59" s="5">
        <f>IF($A59="","",IF(COUNTIFS(Answers!$A$3:$A$400,$A59,Answers!$B$3:$B$400,"Halfway")=0,"",SUMPRODUCT((Answers!$A$3:$A$400=$A59)*(Answers!$B$3:$B$400="Halfway")*Answers!$L$3:$S$400)))</f>
        <v/>
      </c>
      <c r="H59" s="5">
        <f>IF($A59="","",IF(COUNTIFS(Answers!$A$3:$A$400,$A59,Answers!$B$3:$B$400,"Finish")=0,"",SUMPRODUCT((Answers!$A$3:$A$400=$A59)*(Answers!$B$3:$B$400="Finish")*Answers!$L$3:$S$400)))</f>
        <v/>
      </c>
      <c r="I59" s="26">
        <f>IF(OR(F59="",H59=""),"",H59-F59)</f>
        <v/>
      </c>
    </row>
    <row r="60">
      <c r="A60" s="13" t="n"/>
      <c r="B60" s="18">
        <f>IF($A60="","",IFERROR(SUMPRODUCT((Answers!$A$3:$A$400=$A60)*(Answers!$B$3:$B$400="Start")*Answers!$D$3:$K$400)/SUMPRODUCT((Answers!$A$3:$A$400=$A60)*(Answers!$B$3:$B$400="Start")*(Answers!$D$3:$K$400&lt;&gt;"")),""))</f>
        <v/>
      </c>
      <c r="C60" s="18">
        <f>IF($A60="","",IFERROR(SUMPRODUCT((Answers!$A$3:$A$400=$A60)*(Answers!$B$3:$B$400="Halfway")*Answers!$D$3:$K$400)/SUMPRODUCT((Answers!$A$3:$A$400=$A60)*(Answers!$B$3:$B$400="Halfway")*(Answers!$D$3:$K$400&lt;&gt;"")),""))</f>
        <v/>
      </c>
      <c r="D60" s="18">
        <f>IF($A60="","",IFERROR(SUMPRODUCT((Answers!$A$3:$A$400=$A60)*(Answers!$B$3:$B$400="Finish")*Answers!$D$3:$K$400)/SUMPRODUCT((Answers!$A$3:$A$400=$A60)*(Answers!$B$3:$B$400="Finish")*(Answers!$D$3:$K$400&lt;&gt;"")),""))</f>
        <v/>
      </c>
      <c r="E60" s="19">
        <f>IF(OR(B60="",D60=""),"",D60-B60)</f>
        <v/>
      </c>
      <c r="F60" s="5">
        <f>IF($A60="","",IF(COUNTIFS(Answers!$A$3:$A$400,$A60,Answers!$B$3:$B$400,"Start")=0,"",SUMPRODUCT((Answers!$A$3:$A$400=$A60)*(Answers!$B$3:$B$400="Start")*Answers!$L$3:$S$400)))</f>
        <v/>
      </c>
      <c r="G60" s="5">
        <f>IF($A60="","",IF(COUNTIFS(Answers!$A$3:$A$400,$A60,Answers!$B$3:$B$400,"Halfway")=0,"",SUMPRODUCT((Answers!$A$3:$A$400=$A60)*(Answers!$B$3:$B$400="Halfway")*Answers!$L$3:$S$400)))</f>
        <v/>
      </c>
      <c r="H60" s="5">
        <f>IF($A60="","",IF(COUNTIFS(Answers!$A$3:$A$400,$A60,Answers!$B$3:$B$400,"Finish")=0,"",SUMPRODUCT((Answers!$A$3:$A$400=$A60)*(Answers!$B$3:$B$400="Finish")*Answers!$L$3:$S$400)))</f>
        <v/>
      </c>
      <c r="I60" s="26">
        <f>IF(OR(F60="",H60=""),"",H60-F60)</f>
        <v/>
      </c>
    </row>
    <row r="61">
      <c r="A61" s="13" t="n"/>
      <c r="B61" s="18">
        <f>IF($A61="","",IFERROR(SUMPRODUCT((Answers!$A$3:$A$400=$A61)*(Answers!$B$3:$B$400="Start")*Answers!$D$3:$K$400)/SUMPRODUCT((Answers!$A$3:$A$400=$A61)*(Answers!$B$3:$B$400="Start")*(Answers!$D$3:$K$400&lt;&gt;"")),""))</f>
        <v/>
      </c>
      <c r="C61" s="18">
        <f>IF($A61="","",IFERROR(SUMPRODUCT((Answers!$A$3:$A$400=$A61)*(Answers!$B$3:$B$400="Halfway")*Answers!$D$3:$K$400)/SUMPRODUCT((Answers!$A$3:$A$400=$A61)*(Answers!$B$3:$B$400="Halfway")*(Answers!$D$3:$K$400&lt;&gt;"")),""))</f>
        <v/>
      </c>
      <c r="D61" s="18">
        <f>IF($A61="","",IFERROR(SUMPRODUCT((Answers!$A$3:$A$400=$A61)*(Answers!$B$3:$B$400="Finish")*Answers!$D$3:$K$400)/SUMPRODUCT((Answers!$A$3:$A$400=$A61)*(Answers!$B$3:$B$400="Finish")*(Answers!$D$3:$K$400&lt;&gt;"")),""))</f>
        <v/>
      </c>
      <c r="E61" s="19">
        <f>IF(OR(B61="",D61=""),"",D61-B61)</f>
        <v/>
      </c>
      <c r="F61" s="5">
        <f>IF($A61="","",IF(COUNTIFS(Answers!$A$3:$A$400,$A61,Answers!$B$3:$B$400,"Start")=0,"",SUMPRODUCT((Answers!$A$3:$A$400=$A61)*(Answers!$B$3:$B$400="Start")*Answers!$L$3:$S$400)))</f>
        <v/>
      </c>
      <c r="G61" s="5">
        <f>IF($A61="","",IF(COUNTIFS(Answers!$A$3:$A$400,$A61,Answers!$B$3:$B$400,"Halfway")=0,"",SUMPRODUCT((Answers!$A$3:$A$400=$A61)*(Answers!$B$3:$B$400="Halfway")*Answers!$L$3:$S$400)))</f>
        <v/>
      </c>
      <c r="H61" s="5">
        <f>IF($A61="","",IF(COUNTIFS(Answers!$A$3:$A$400,$A61,Answers!$B$3:$B$400,"Finish")=0,"",SUMPRODUCT((Answers!$A$3:$A$400=$A61)*(Answers!$B$3:$B$400="Finish")*Answers!$L$3:$S$400)))</f>
        <v/>
      </c>
      <c r="I61" s="26">
        <f>IF(OR(F61="",H61=""),"",H61-F61)</f>
        <v/>
      </c>
    </row>
    <row r="62">
      <c r="A62" s="13" t="n"/>
      <c r="B62" s="18">
        <f>IF($A62="","",IFERROR(SUMPRODUCT((Answers!$A$3:$A$400=$A62)*(Answers!$B$3:$B$400="Start")*Answers!$D$3:$K$400)/SUMPRODUCT((Answers!$A$3:$A$400=$A62)*(Answers!$B$3:$B$400="Start")*(Answers!$D$3:$K$400&lt;&gt;"")),""))</f>
        <v/>
      </c>
      <c r="C62" s="18">
        <f>IF($A62="","",IFERROR(SUMPRODUCT((Answers!$A$3:$A$400=$A62)*(Answers!$B$3:$B$400="Halfway")*Answers!$D$3:$K$400)/SUMPRODUCT((Answers!$A$3:$A$400=$A62)*(Answers!$B$3:$B$400="Halfway")*(Answers!$D$3:$K$400&lt;&gt;"")),""))</f>
        <v/>
      </c>
      <c r="D62" s="18">
        <f>IF($A62="","",IFERROR(SUMPRODUCT((Answers!$A$3:$A$400=$A62)*(Answers!$B$3:$B$400="Finish")*Answers!$D$3:$K$400)/SUMPRODUCT((Answers!$A$3:$A$400=$A62)*(Answers!$B$3:$B$400="Finish")*(Answers!$D$3:$K$400&lt;&gt;"")),""))</f>
        <v/>
      </c>
      <c r="E62" s="19">
        <f>IF(OR(B62="",D62=""),"",D62-B62)</f>
        <v/>
      </c>
      <c r="F62" s="5">
        <f>IF($A62="","",IF(COUNTIFS(Answers!$A$3:$A$400,$A62,Answers!$B$3:$B$400,"Start")=0,"",SUMPRODUCT((Answers!$A$3:$A$400=$A62)*(Answers!$B$3:$B$400="Start")*Answers!$L$3:$S$400)))</f>
        <v/>
      </c>
      <c r="G62" s="5">
        <f>IF($A62="","",IF(COUNTIFS(Answers!$A$3:$A$400,$A62,Answers!$B$3:$B$400,"Halfway")=0,"",SUMPRODUCT((Answers!$A$3:$A$400=$A62)*(Answers!$B$3:$B$400="Halfway")*Answers!$L$3:$S$400)))</f>
        <v/>
      </c>
      <c r="H62" s="5">
        <f>IF($A62="","",IF(COUNTIFS(Answers!$A$3:$A$400,$A62,Answers!$B$3:$B$400,"Finish")=0,"",SUMPRODUCT((Answers!$A$3:$A$400=$A62)*(Answers!$B$3:$B$400="Finish")*Answers!$L$3:$S$400)))</f>
        <v/>
      </c>
      <c r="I62" s="26">
        <f>IF(OR(F62="",H62=""),"",H62-F62)</f>
        <v/>
      </c>
    </row>
    <row r="63">
      <c r="A63" s="13" t="n"/>
      <c r="B63" s="18">
        <f>IF($A63="","",IFERROR(SUMPRODUCT((Answers!$A$3:$A$400=$A63)*(Answers!$B$3:$B$400="Start")*Answers!$D$3:$K$400)/SUMPRODUCT((Answers!$A$3:$A$400=$A63)*(Answers!$B$3:$B$400="Start")*(Answers!$D$3:$K$400&lt;&gt;"")),""))</f>
        <v/>
      </c>
      <c r="C63" s="18">
        <f>IF($A63="","",IFERROR(SUMPRODUCT((Answers!$A$3:$A$400=$A63)*(Answers!$B$3:$B$400="Halfway")*Answers!$D$3:$K$400)/SUMPRODUCT((Answers!$A$3:$A$400=$A63)*(Answers!$B$3:$B$400="Halfway")*(Answers!$D$3:$K$400&lt;&gt;"")),""))</f>
        <v/>
      </c>
      <c r="D63" s="18">
        <f>IF($A63="","",IFERROR(SUMPRODUCT((Answers!$A$3:$A$400=$A63)*(Answers!$B$3:$B$400="Finish")*Answers!$D$3:$K$400)/SUMPRODUCT((Answers!$A$3:$A$400=$A63)*(Answers!$B$3:$B$400="Finish")*(Answers!$D$3:$K$400&lt;&gt;"")),""))</f>
        <v/>
      </c>
      <c r="E63" s="19">
        <f>IF(OR(B63="",D63=""),"",D63-B63)</f>
        <v/>
      </c>
      <c r="F63" s="5">
        <f>IF($A63="","",IF(COUNTIFS(Answers!$A$3:$A$400,$A63,Answers!$B$3:$B$400,"Start")=0,"",SUMPRODUCT((Answers!$A$3:$A$400=$A63)*(Answers!$B$3:$B$400="Start")*Answers!$L$3:$S$400)))</f>
        <v/>
      </c>
      <c r="G63" s="5">
        <f>IF($A63="","",IF(COUNTIFS(Answers!$A$3:$A$400,$A63,Answers!$B$3:$B$400,"Halfway")=0,"",SUMPRODUCT((Answers!$A$3:$A$400=$A63)*(Answers!$B$3:$B$400="Halfway")*Answers!$L$3:$S$400)))</f>
        <v/>
      </c>
      <c r="H63" s="5">
        <f>IF($A63="","",IF(COUNTIFS(Answers!$A$3:$A$400,$A63,Answers!$B$3:$B$400,"Finish")=0,"",SUMPRODUCT((Answers!$A$3:$A$400=$A63)*(Answers!$B$3:$B$400="Finish")*Answers!$L$3:$S$400)))</f>
        <v/>
      </c>
      <c r="I63" s="26">
        <f>IF(OR(F63="",H63=""),"",H63-F63)</f>
        <v/>
      </c>
    </row>
    <row r="64">
      <c r="A64" s="13" t="n"/>
      <c r="B64" s="18">
        <f>IF($A64="","",IFERROR(SUMPRODUCT((Answers!$A$3:$A$400=$A64)*(Answers!$B$3:$B$400="Start")*Answers!$D$3:$K$400)/SUMPRODUCT((Answers!$A$3:$A$400=$A64)*(Answers!$B$3:$B$400="Start")*(Answers!$D$3:$K$400&lt;&gt;"")),""))</f>
        <v/>
      </c>
      <c r="C64" s="18">
        <f>IF($A64="","",IFERROR(SUMPRODUCT((Answers!$A$3:$A$400=$A64)*(Answers!$B$3:$B$400="Halfway")*Answers!$D$3:$K$400)/SUMPRODUCT((Answers!$A$3:$A$400=$A64)*(Answers!$B$3:$B$400="Halfway")*(Answers!$D$3:$K$400&lt;&gt;"")),""))</f>
        <v/>
      </c>
      <c r="D64" s="18">
        <f>IF($A64="","",IFERROR(SUMPRODUCT((Answers!$A$3:$A$400=$A64)*(Answers!$B$3:$B$400="Finish")*Answers!$D$3:$K$400)/SUMPRODUCT((Answers!$A$3:$A$400=$A64)*(Answers!$B$3:$B$400="Finish")*(Answers!$D$3:$K$400&lt;&gt;"")),""))</f>
        <v/>
      </c>
      <c r="E64" s="19">
        <f>IF(OR(B64="",D64=""),"",D64-B64)</f>
        <v/>
      </c>
      <c r="F64" s="5">
        <f>IF($A64="","",IF(COUNTIFS(Answers!$A$3:$A$400,$A64,Answers!$B$3:$B$400,"Start")=0,"",SUMPRODUCT((Answers!$A$3:$A$400=$A64)*(Answers!$B$3:$B$400="Start")*Answers!$L$3:$S$400)))</f>
        <v/>
      </c>
      <c r="G64" s="5">
        <f>IF($A64="","",IF(COUNTIFS(Answers!$A$3:$A$400,$A64,Answers!$B$3:$B$400,"Halfway")=0,"",SUMPRODUCT((Answers!$A$3:$A$400=$A64)*(Answers!$B$3:$B$400="Halfway")*Answers!$L$3:$S$400)))</f>
        <v/>
      </c>
      <c r="H64" s="5">
        <f>IF($A64="","",IF(COUNTIFS(Answers!$A$3:$A$400,$A64,Answers!$B$3:$B$400,"Finish")=0,"",SUMPRODUCT((Answers!$A$3:$A$400=$A64)*(Answers!$B$3:$B$400="Finish")*Answers!$L$3:$S$400)))</f>
        <v/>
      </c>
      <c r="I64" s="26">
        <f>IF(OR(F64="",H64=""),"",H64-F64)</f>
        <v/>
      </c>
    </row>
  </sheetData>
  <mergeCells count="3">
    <mergeCell ref="F3:I3"/>
    <mergeCell ref="A3:A4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2026-10-05T00:52:54Z</dcterms:created>
  <dcterms:modified xmlns:dcterms="http://purl.org/dc/terms/" xmlns:xsi="http://www.w3.org/2001/XMLSchema-instance" xsi:type="dcterms:W3CDTF">2026-10-05T00:52:55Z</dcterms:modified>
</cp:coreProperties>
</file>